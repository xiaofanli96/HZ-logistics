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702"/>
  <workbookPr hidePivotFieldList="1"/>
  <mc:AlternateContent xmlns:mc="http://schemas.openxmlformats.org/markup-compatibility/2006">
    <mc:Choice Requires="x15">
      <x15ac:absPath xmlns:x15ac="http://schemas.microsoft.com/office/spreadsheetml/2010/11/ac" url="/Users/Zoeli/Desktop/"/>
    </mc:Choice>
  </mc:AlternateContent>
  <bookViews>
    <workbookView xWindow="0" yWindow="0" windowWidth="28800" windowHeight="18000" tabRatio="500"/>
  </bookViews>
  <sheets>
    <sheet name="Q1+2+3+4PersonalFP" sheetId="2" r:id="rId1"/>
    <sheet name="Q1TransportationFP" sheetId="1" r:id="rId2"/>
  </sheets>
  <definedNames>
    <definedName name="_xlnm._FilterDatabase" localSheetId="0" hidden="1">'Q1+2+3+4PersonalFP'!$G$10:$K$10</definedName>
    <definedName name="_xlnm._FilterDatabase" localSheetId="1" hidden="1">Q1TransportationFP!$B$11:$H$11</definedName>
  </definedNames>
  <calcPr calcId="0" concurrentCalc="0"/>
  <pivotCaches>
    <pivotCache cacheId="7" r:id="rId3"/>
  </pivotCaches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12" i="2" l="1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11" i="2"/>
  <c r="J28" i="2"/>
  <c r="I28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14" i="2"/>
  <c r="J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11" i="2"/>
  <c r="D31" i="2"/>
  <c r="C31" i="2"/>
  <c r="D30" i="2"/>
  <c r="D29" i="2"/>
  <c r="D28" i="2"/>
  <c r="D27" i="2"/>
  <c r="D26" i="2"/>
  <c r="D25" i="2"/>
  <c r="D24" i="2"/>
  <c r="D23" i="2"/>
  <c r="D22" i="2"/>
  <c r="D21" i="2"/>
  <c r="D20" i="2"/>
  <c r="D19" i="2"/>
  <c r="D11" i="2"/>
  <c r="D12" i="2"/>
  <c r="D18" i="2"/>
  <c r="U49" i="1"/>
  <c r="U48" i="1"/>
  <c r="U47" i="1"/>
  <c r="U53" i="1"/>
  <c r="U52" i="1"/>
  <c r="U51" i="1"/>
  <c r="U50" i="1"/>
  <c r="U42" i="1"/>
  <c r="U41" i="1"/>
  <c r="U40" i="1"/>
  <c r="U46" i="1"/>
  <c r="U45" i="1"/>
  <c r="U44" i="1"/>
  <c r="U43" i="1"/>
  <c r="U35" i="1"/>
  <c r="U34" i="1"/>
  <c r="U33" i="1"/>
  <c r="U39" i="1"/>
  <c r="U38" i="1"/>
  <c r="U37" i="1"/>
  <c r="U36" i="1"/>
  <c r="U28" i="1"/>
  <c r="U27" i="1"/>
  <c r="U26" i="1"/>
  <c r="U32" i="1"/>
  <c r="U31" i="1"/>
  <c r="U30" i="1"/>
  <c r="U29" i="1"/>
  <c r="U21" i="1"/>
  <c r="U20" i="1"/>
  <c r="U19" i="1"/>
  <c r="U25" i="1"/>
  <c r="U24" i="1"/>
  <c r="U23" i="1"/>
  <c r="U22" i="1"/>
  <c r="U14" i="1"/>
  <c r="U13" i="1"/>
  <c r="U12" i="1"/>
  <c r="U18" i="1"/>
  <c r="U17" i="1"/>
  <c r="U16" i="1"/>
  <c r="U15" i="1"/>
  <c r="S49" i="1"/>
  <c r="S48" i="1"/>
  <c r="S47" i="1"/>
  <c r="S53" i="1"/>
  <c r="S52" i="1"/>
  <c r="S51" i="1"/>
  <c r="S50" i="1"/>
  <c r="S42" i="1"/>
  <c r="S41" i="1"/>
  <c r="S40" i="1"/>
  <c r="S46" i="1"/>
  <c r="S45" i="1"/>
  <c r="S44" i="1"/>
  <c r="S43" i="1"/>
  <c r="S35" i="1"/>
  <c r="S34" i="1"/>
  <c r="S33" i="1"/>
  <c r="S39" i="1"/>
  <c r="S38" i="1"/>
  <c r="S37" i="1"/>
  <c r="S36" i="1"/>
  <c r="S28" i="1"/>
  <c r="S27" i="1"/>
  <c r="S26" i="1"/>
  <c r="S32" i="1"/>
  <c r="S31" i="1"/>
  <c r="S30" i="1"/>
  <c r="S29" i="1"/>
  <c r="S21" i="1"/>
  <c r="S20" i="1"/>
  <c r="S19" i="1"/>
  <c r="S25" i="1"/>
  <c r="S24" i="1"/>
  <c r="S23" i="1"/>
  <c r="S22" i="1"/>
  <c r="S14" i="1"/>
  <c r="S13" i="1"/>
  <c r="S12" i="1"/>
  <c r="S18" i="1"/>
  <c r="S17" i="1"/>
  <c r="S16" i="1"/>
  <c r="S15" i="1"/>
  <c r="Q49" i="1"/>
  <c r="Q48" i="1"/>
  <c r="Q47" i="1"/>
  <c r="Q53" i="1"/>
  <c r="Q52" i="1"/>
  <c r="Q51" i="1"/>
  <c r="Q50" i="1"/>
  <c r="Q42" i="1"/>
  <c r="Q41" i="1"/>
  <c r="Q40" i="1"/>
  <c r="Q46" i="1"/>
  <c r="Q45" i="1"/>
  <c r="Q44" i="1"/>
  <c r="Q43" i="1"/>
  <c r="Q35" i="1"/>
  <c r="Q34" i="1"/>
  <c r="Q33" i="1"/>
  <c r="Q39" i="1"/>
  <c r="Q38" i="1"/>
  <c r="Q37" i="1"/>
  <c r="Q36" i="1"/>
  <c r="Q28" i="1"/>
  <c r="Q27" i="1"/>
  <c r="Q26" i="1"/>
  <c r="Q32" i="1"/>
  <c r="Q31" i="1"/>
  <c r="Q30" i="1"/>
  <c r="Q29" i="1"/>
  <c r="Q21" i="1"/>
  <c r="Q20" i="1"/>
  <c r="Q19" i="1"/>
  <c r="Q25" i="1"/>
  <c r="Q24" i="1"/>
  <c r="Q23" i="1"/>
  <c r="Q22" i="1"/>
  <c r="Q14" i="1"/>
  <c r="Q13" i="1"/>
  <c r="Q12" i="1"/>
  <c r="Q18" i="1"/>
  <c r="Q17" i="1"/>
  <c r="Q16" i="1"/>
  <c r="Q15" i="1"/>
</calcChain>
</file>

<file path=xl/sharedStrings.xml><?xml version="1.0" encoding="utf-8"?>
<sst xmlns="http://schemas.openxmlformats.org/spreadsheetml/2006/main" count="1071" uniqueCount="118">
  <si>
    <t>Truck</t>
  </si>
  <si>
    <t>Energy consumption</t>
  </si>
  <si>
    <t>CO2 emissions</t>
  </si>
  <si>
    <t>GHG emissions as CO2e</t>
  </si>
  <si>
    <t>Nitrogen oxides</t>
  </si>
  <si>
    <t>Non-methane hydrocarbon</t>
  </si>
  <si>
    <t>Sulfur dioxide</t>
  </si>
  <si>
    <t>Particulate matter</t>
  </si>
  <si>
    <t>Truck</t>
    <phoneticPr fontId="4" type="noConversion"/>
  </si>
  <si>
    <t>Train</t>
  </si>
  <si>
    <t>Train</t>
    <phoneticPr fontId="4" type="noConversion"/>
  </si>
  <si>
    <t>Indicator</t>
  </si>
  <si>
    <t>Indicator</t>
    <phoneticPr fontId="4" type="noConversion"/>
  </si>
  <si>
    <t>Interval</t>
  </si>
  <si>
    <t>Interval</t>
    <phoneticPr fontId="4" type="noConversion"/>
  </si>
  <si>
    <t>Metric Unit</t>
  </si>
  <si>
    <t>Metric Unit</t>
    <phoneticPr fontId="4" type="noConversion"/>
  </si>
  <si>
    <t>Absolute Value</t>
    <phoneticPr fontId="4" type="noConversion"/>
  </si>
  <si>
    <t>WTT</t>
  </si>
  <si>
    <t>WTT</t>
    <phoneticPr fontId="4" type="noConversion"/>
  </si>
  <si>
    <t>TTW</t>
  </si>
  <si>
    <t>TTW</t>
    <phoneticPr fontId="4" type="noConversion"/>
  </si>
  <si>
    <t>WTW</t>
  </si>
  <si>
    <t>WTW</t>
    <phoneticPr fontId="4" type="noConversion"/>
  </si>
  <si>
    <t>Kilowatthours</t>
  </si>
  <si>
    <t>GHG emissions as CO2e</t>
    <phoneticPr fontId="4" type="noConversion"/>
  </si>
  <si>
    <t>Tonnes</t>
  </si>
  <si>
    <t>Tonnes</t>
    <phoneticPr fontId="4" type="noConversion"/>
  </si>
  <si>
    <t>Energy consumption</t>
    <phoneticPr fontId="4" type="noConversion"/>
  </si>
  <si>
    <t>CO2 emissions</t>
    <phoneticPr fontId="4" type="noConversion"/>
  </si>
  <si>
    <t>Nitrogen oxides</t>
    <phoneticPr fontId="4" type="noConversion"/>
  </si>
  <si>
    <t>kilogram</t>
  </si>
  <si>
    <t>Non-methane hydrocarbon</t>
    <phoneticPr fontId="4" type="noConversion"/>
  </si>
  <si>
    <t>Sulfur dioxide</t>
    <phoneticPr fontId="4" type="noConversion"/>
  </si>
  <si>
    <t>Particulate matter</t>
    <phoneticPr fontId="4" type="noConversion"/>
  </si>
  <si>
    <t>Distance(km)</t>
    <phoneticPr fontId="4" type="noConversion"/>
  </si>
  <si>
    <t>Airplane</t>
  </si>
  <si>
    <t>Sea ship</t>
  </si>
  <si>
    <t>Transporting Means</t>
  </si>
  <si>
    <t>Transporting Means</t>
    <phoneticPr fontId="4" type="noConversion"/>
  </si>
  <si>
    <t>Sub Transporting Means</t>
  </si>
  <si>
    <t>Sub Transporting Means</t>
    <phoneticPr fontId="4" type="noConversion"/>
  </si>
  <si>
    <t>NA</t>
  </si>
  <si>
    <t>NA</t>
    <phoneticPr fontId="4" type="noConversion"/>
  </si>
  <si>
    <t>求和/Absolute Value</t>
  </si>
  <si>
    <t>Percentage by Metric</t>
    <phoneticPr fontId="4" type="noConversion"/>
  </si>
  <si>
    <t>Kilowatthours</t>
    <phoneticPr fontId="4" type="noConversion"/>
  </si>
  <si>
    <t>TTW-airplane</t>
    <phoneticPr fontId="4" type="noConversion"/>
  </si>
  <si>
    <t>WTT-airplane</t>
    <phoneticPr fontId="4" type="noConversion"/>
  </si>
  <si>
    <t>TTW-truck</t>
    <phoneticPr fontId="4" type="noConversion"/>
  </si>
  <si>
    <t>WTT-truck</t>
    <phoneticPr fontId="4" type="noConversion"/>
  </si>
  <si>
    <t>TTW-seaship</t>
    <phoneticPr fontId="4" type="noConversion"/>
  </si>
  <si>
    <t>WTT-seaship</t>
    <phoneticPr fontId="4" type="noConversion"/>
  </si>
  <si>
    <t>By Transprting mean-Metric</t>
    <phoneticPr fontId="4" type="noConversion"/>
  </si>
  <si>
    <t>By Indicator</t>
    <phoneticPr fontId="4" type="noConversion"/>
  </si>
  <si>
    <t>item</t>
    <phoneticPr fontId="4" type="noConversion"/>
  </si>
  <si>
    <t>percentage</t>
    <phoneticPr fontId="4" type="noConversion"/>
  </si>
  <si>
    <t>absolute value(ton)</t>
    <phoneticPr fontId="4" type="noConversion"/>
  </si>
  <si>
    <t>natural gas</t>
    <phoneticPr fontId="4" type="noConversion"/>
  </si>
  <si>
    <t>50 kWh at 0.8112 kgCO2e/kWh</t>
    <phoneticPr fontId="4" type="noConversion"/>
  </si>
  <si>
    <t>Detailed Info</t>
    <phoneticPr fontId="4" type="noConversion"/>
  </si>
  <si>
    <t>flight</t>
    <phoneticPr fontId="4" type="noConversion"/>
  </si>
  <si>
    <t>economy-PVG-ICN-SFO-return</t>
    <phoneticPr fontId="4" type="noConversion"/>
  </si>
  <si>
    <t>12000km-per year-Average Petrol Hybrid Car</t>
    <phoneticPr fontId="4" type="noConversion"/>
  </si>
  <si>
    <t>Car</t>
    <phoneticPr fontId="4" type="noConversion"/>
  </si>
  <si>
    <t>Bus</t>
    <phoneticPr fontId="4" type="noConversion"/>
  </si>
  <si>
    <t>Metro</t>
    <phoneticPr fontId="4" type="noConversion"/>
  </si>
  <si>
    <t>Taxi</t>
    <phoneticPr fontId="4" type="noConversion"/>
  </si>
  <si>
    <t>2000km-per year</t>
    <phoneticPr fontId="4" type="noConversion"/>
  </si>
  <si>
    <t>10000km-per year</t>
    <phoneticPr fontId="4" type="noConversion"/>
  </si>
  <si>
    <t>4000km-per year</t>
    <phoneticPr fontId="4" type="noConversion"/>
  </si>
  <si>
    <t>electricity</t>
    <phoneticPr fontId="4" type="noConversion"/>
  </si>
  <si>
    <t>50 kWh</t>
    <phoneticPr fontId="4" type="noConversion"/>
  </si>
  <si>
    <t>Food and drink products</t>
    <phoneticPr fontId="4" type="noConversion"/>
  </si>
  <si>
    <t>$200 per month</t>
    <phoneticPr fontId="4" type="noConversion"/>
  </si>
  <si>
    <t>Pharmaceuticals</t>
    <phoneticPr fontId="4" type="noConversion"/>
  </si>
  <si>
    <t>$50 per month</t>
    <phoneticPr fontId="4" type="noConversion"/>
  </si>
  <si>
    <t>Clothes, textiles and shoes</t>
    <phoneticPr fontId="4" type="noConversion"/>
  </si>
  <si>
    <t>$100 per month</t>
    <phoneticPr fontId="4" type="noConversion"/>
  </si>
  <si>
    <t>Paper based products</t>
    <phoneticPr fontId="4" type="noConversion"/>
  </si>
  <si>
    <t>$10 per month</t>
    <phoneticPr fontId="4" type="noConversion"/>
  </si>
  <si>
    <t>Computers and IT equipment</t>
    <phoneticPr fontId="4" type="noConversion"/>
  </si>
  <si>
    <t>Television, radio and phone</t>
    <phoneticPr fontId="4" type="noConversion"/>
  </si>
  <si>
    <t>Motor vehicles</t>
    <phoneticPr fontId="4" type="noConversion"/>
  </si>
  <si>
    <t>Furniture and other manufactured goods</t>
    <phoneticPr fontId="4" type="noConversion"/>
  </si>
  <si>
    <t>Hotels, restaurants, and pubs etc.</t>
    <phoneticPr fontId="4" type="noConversion"/>
  </si>
  <si>
    <t>$25 per month</t>
    <phoneticPr fontId="4" type="noConversion"/>
  </si>
  <si>
    <t>Telephone, mobile/cell phone call costs</t>
    <phoneticPr fontId="4" type="noConversion"/>
  </si>
  <si>
    <t>Banking and finance</t>
    <phoneticPr fontId="4" type="noConversion"/>
  </si>
  <si>
    <t>$1000 per month</t>
    <phoneticPr fontId="4" type="noConversion"/>
  </si>
  <si>
    <t>Education</t>
    <phoneticPr fontId="4" type="noConversion"/>
  </si>
  <si>
    <t>Recreational, cultural and sporting activities</t>
    <phoneticPr fontId="4" type="noConversion"/>
  </si>
  <si>
    <t>20 kWh at 0.8112 kgCO2e/kWh</t>
    <phoneticPr fontId="4" type="noConversion"/>
  </si>
  <si>
    <t>20 kWh</t>
    <phoneticPr fontId="4" type="noConversion"/>
  </si>
  <si>
    <t>35000km-Average Petrol Car1.4-2T</t>
    <phoneticPr fontId="4" type="noConversion"/>
  </si>
  <si>
    <t>Insurance</t>
    <phoneticPr fontId="4" type="noConversion"/>
  </si>
  <si>
    <t>$80 per month</t>
    <phoneticPr fontId="4" type="noConversion"/>
  </si>
  <si>
    <t>$500 per month</t>
    <phoneticPr fontId="4" type="noConversion"/>
  </si>
  <si>
    <t>Q3-a: How would you minimize your footprint?</t>
    <phoneticPr fontId="4" type="noConversion"/>
  </si>
  <si>
    <t>2. Choose sustainable building materials, furnishings, and cleaning products</t>
    <phoneticPr fontId="4" type="noConversion"/>
  </si>
  <si>
    <t>3. Consider about if new IT equipment is necessary</t>
    <phoneticPr fontId="4" type="noConversion"/>
  </si>
  <si>
    <t>4. Take more public transportation</t>
    <phoneticPr fontId="4" type="noConversion"/>
  </si>
  <si>
    <t>1. Reduce food footprint (more local, organic and in-season)</t>
    <phoneticPr fontId="4" type="noConversion"/>
  </si>
  <si>
    <t>A Little Explanation:</t>
    <phoneticPr fontId="4" type="noConversion"/>
  </si>
  <si>
    <t>1. CO2 of Flight is high due to that I make the scenario as I live in China, and I'm in the age of pursuing education overseas. That makes me highly uneconomical if choosing train or seaship.</t>
    <phoneticPr fontId="4" type="noConversion"/>
  </si>
  <si>
    <t>2. I'm confused about why in www.carbonfootprint.com, paying bank loans also generate CO2.</t>
    <phoneticPr fontId="4" type="noConversion"/>
  </si>
  <si>
    <t>absolute value-per year(ton)</t>
    <phoneticPr fontId="4" type="noConversion"/>
  </si>
  <si>
    <t>1. Q1 scenario:24.62%</t>
    <phoneticPr fontId="4" type="noConversion"/>
  </si>
  <si>
    <t>2. Q2 scenario: 37.33%</t>
    <phoneticPr fontId="4" type="noConversion"/>
  </si>
  <si>
    <t>Q4-a: the current price to emit one metric ton of CO2</t>
    <phoneticPr fontId="4" type="noConversion"/>
  </si>
  <si>
    <t>Q4-b: the cost for the two consumption scenarios</t>
    <phoneticPr fontId="4" type="noConversion"/>
  </si>
  <si>
    <t>Q3-b: How big is the transportation part in the two scenarios</t>
    <phoneticPr fontId="4" type="noConversion"/>
  </si>
  <si>
    <t>Q1PersonalFP-per year (China)</t>
    <phoneticPr fontId="4" type="noConversion"/>
  </si>
  <si>
    <t>Q2BredaFP-per year (Netherlands)</t>
    <phoneticPr fontId="4" type="noConversion"/>
  </si>
  <si>
    <t>China: ¥71/ ton     €9/ton</t>
    <phoneticPr fontId="4" type="noConversion"/>
  </si>
  <si>
    <t>Europe: €20.45</t>
    <phoneticPr fontId="4" type="noConversion"/>
  </si>
  <si>
    <t>Scenario Q1: ¥5278.14     €669.06</t>
    <phoneticPr fontId="4" type="noConversion"/>
  </si>
  <si>
    <t>Scenario Q2: €1076.90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</si>
</sst>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2"/>
      <color theme="1"/>
      <name val="DengXian"/>
      <family val="2"/>
      <charset val="134"/>
      <scheme val="minor"/>
    </font>
    <font>
      <sz val="12"/>
      <color theme="1"/>
      <name val="DengXian"/>
      <family val="2"/>
      <charset val="134"/>
      <scheme val="minor"/>
    </font>
    <font>
      <b/>
      <sz val="12"/>
      <color theme="1"/>
      <name val="DengXian"/>
      <family val="2"/>
      <charset val="134"/>
      <scheme val="minor"/>
    </font>
    <font>
      <sz val="12"/>
      <color theme="0"/>
      <name val="DengXian"/>
      <family val="2"/>
      <charset val="134"/>
      <scheme val="minor"/>
    </font>
    <font>
      <sz val="9"/>
      <name val="DengXian"/>
      <family val="2"/>
      <charset val="134"/>
      <scheme val="minor"/>
    </font>
    <font>
      <u/>
      <sz val="12"/>
      <color theme="10"/>
      <name val="DengXian"/>
      <family val="2"/>
      <charset val="134"/>
      <scheme val="minor"/>
    </font>
    <font>
      <u/>
      <sz val="12"/>
      <color theme="11"/>
      <name val="DengXian"/>
      <family val="2"/>
      <charset val="134"/>
      <scheme val="minor"/>
    </font>
    <font>
      <b/>
      <i/>
      <sz val="12"/>
      <color theme="1"/>
      <name val="DengXian"/>
      <family val="4"/>
      <charset val="134"/>
      <scheme val="minor"/>
    </font>
    <font>
      <sz val="12"/>
      <color rgb="FF000000"/>
      <name val="DengXian"/>
      <family val="4"/>
      <charset val="134"/>
      <scheme val="minor"/>
    </font>
    <font>
      <b/>
      <sz val="16"/>
      <color theme="1"/>
      <name val="DengXian"/>
      <family val="2"/>
      <charset val="134"/>
      <scheme val="minor"/>
    </font>
    <font>
      <b/>
      <sz val="12"/>
      <color rgb="FF000000"/>
      <name val="DengXian"/>
      <family val="4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-0.249977111117893"/>
        <bgColor theme="9" tint="-0.249977111117893"/>
      </patternFill>
    </fill>
    <fill>
      <patternFill patternType="solid">
        <fgColor theme="9" tint="0.39997558519241921"/>
        <bgColor theme="9" tint="0.39997558519241921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9" tint="-0.249977111117893"/>
      </top>
      <bottom style="thin">
        <color theme="9" tint="0.59999389629810485"/>
      </bottom>
      <diagonal/>
    </border>
    <border>
      <left/>
      <right/>
      <top style="thin">
        <color theme="9" tint="0.79998168889431442"/>
      </top>
      <bottom style="thin">
        <color theme="9" tint="0.79998168889431442"/>
      </bottom>
      <diagonal/>
    </border>
    <border>
      <left/>
      <right/>
      <top style="thin">
        <color theme="9" tint="-0.249977111117893"/>
      </top>
      <bottom style="thin">
        <color theme="9" tint="0.79998168889431442"/>
      </bottom>
      <diagonal/>
    </border>
    <border>
      <left/>
      <right/>
      <top style="thin">
        <color theme="9" tint="0.79998168889431442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79998168889431442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79998168889431442"/>
      </top>
      <bottom style="thin">
        <color theme="9"/>
      </bottom>
      <diagonal/>
    </border>
    <border>
      <left/>
      <right/>
      <top style="thin">
        <color theme="9" tint="0.79998168889431442"/>
      </top>
      <bottom/>
      <diagonal/>
    </border>
  </borders>
  <cellStyleXfs count="50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applyNumberFormat="1"/>
    <xf numFmtId="0" fontId="0" fillId="0" borderId="0" xfId="0" pivotButton="1"/>
    <xf numFmtId="0" fontId="3" fillId="2" borderId="1" xfId="0" applyFont="1" applyFill="1" applyBorder="1"/>
    <xf numFmtId="0" fontId="3" fillId="2" borderId="3" xfId="0" applyFont="1" applyFill="1" applyBorder="1"/>
    <xf numFmtId="0" fontId="3" fillId="3" borderId="4" xfId="0" applyFont="1" applyFill="1" applyBorder="1"/>
    <xf numFmtId="0" fontId="3" fillId="3" borderId="5" xfId="0" applyFont="1" applyFill="1" applyBorder="1"/>
    <xf numFmtId="0" fontId="0" fillId="4" borderId="2" xfId="0" applyFont="1" applyFill="1" applyBorder="1"/>
    <xf numFmtId="0" fontId="3" fillId="3" borderId="6" xfId="0" applyFont="1" applyFill="1" applyBorder="1"/>
    <xf numFmtId="0" fontId="0" fillId="4" borderId="7" xfId="0" applyFont="1" applyFill="1" applyBorder="1"/>
    <xf numFmtId="0" fontId="0" fillId="5" borderId="2" xfId="0" applyFont="1" applyFill="1" applyBorder="1"/>
    <xf numFmtId="0" fontId="0" fillId="5" borderId="2" xfId="0" applyNumberFormat="1" applyFont="1" applyFill="1" applyBorder="1"/>
    <xf numFmtId="0" fontId="0" fillId="0" borderId="2" xfId="0" applyFont="1" applyFill="1" applyBorder="1"/>
    <xf numFmtId="0" fontId="0" fillId="0" borderId="2" xfId="0" applyNumberFormat="1" applyFont="1" applyFill="1" applyBorder="1"/>
    <xf numFmtId="10" fontId="7" fillId="0" borderId="2" xfId="1" applyNumberFormat="1" applyFont="1" applyFill="1" applyBorder="1"/>
    <xf numFmtId="10" fontId="7" fillId="5" borderId="2" xfId="1" applyNumberFormat="1" applyFont="1" applyFill="1" applyBorder="1"/>
    <xf numFmtId="0" fontId="0" fillId="0" borderId="8" xfId="0" applyFont="1" applyFill="1" applyBorder="1"/>
    <xf numFmtId="0" fontId="0" fillId="0" borderId="8" xfId="0" applyNumberFormat="1" applyFont="1" applyFill="1" applyBorder="1"/>
    <xf numFmtId="0" fontId="2" fillId="0" borderId="0" xfId="0" applyFont="1"/>
    <xf numFmtId="0" fontId="9" fillId="0" borderId="0" xfId="0" applyFont="1"/>
    <xf numFmtId="0" fontId="8" fillId="0" borderId="0" xfId="0" applyFont="1"/>
    <xf numFmtId="0" fontId="3" fillId="0" borderId="0" xfId="0" applyFont="1" applyFill="1" applyBorder="1"/>
    <xf numFmtId="0" fontId="3" fillId="0" borderId="0" xfId="0" applyNumberFormat="1" applyFont="1" applyFill="1" applyBorder="1"/>
    <xf numFmtId="10" fontId="0" fillId="0" borderId="0" xfId="1" applyNumberFormat="1" applyFont="1"/>
    <xf numFmtId="0" fontId="7" fillId="0" borderId="0" xfId="0" applyFont="1"/>
    <xf numFmtId="0" fontId="0" fillId="0" borderId="0" xfId="0" applyAlignment="1">
      <alignment horizontal="left" vertical="top" wrapText="1"/>
    </xf>
    <xf numFmtId="0" fontId="10" fillId="0" borderId="0" xfId="0" applyFont="1"/>
    <xf numFmtId="10" fontId="2" fillId="0" borderId="0" xfId="1" applyNumberFormat="1" applyFont="1"/>
  </cellXfs>
  <cellStyles count="50">
    <cellStyle name="百分比" xfId="1" builtinId="5"/>
    <cellStyle name="常规" xfId="0" builtinId="0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超链接" xfId="14" builtinId="8" hidden="1"/>
    <cellStyle name="超链接" xfId="16" builtinId="8" hidden="1"/>
    <cellStyle name="超链接" xfId="18" builtinId="8" hidden="1"/>
    <cellStyle name="超链接" xfId="20" builtinId="8" hidden="1"/>
    <cellStyle name="超链接" xfId="22" builtinId="8" hidden="1"/>
    <cellStyle name="超链接" xfId="24" builtinId="8" hidden="1"/>
    <cellStyle name="超链接" xfId="26" builtinId="8" hidden="1"/>
    <cellStyle name="超链接" xfId="28" builtinId="8" hidden="1"/>
    <cellStyle name="超链接" xfId="30" builtinId="8" hidden="1"/>
    <cellStyle name="超链接" xfId="32" builtinId="8" hidden="1"/>
    <cellStyle name="超链接" xfId="34" builtinId="8" hidden="1"/>
    <cellStyle name="超链接" xfId="36" builtinId="8" hidden="1"/>
    <cellStyle name="超链接" xfId="38" builtinId="8" hidden="1"/>
    <cellStyle name="超链接" xfId="40" builtinId="8" hidden="1"/>
    <cellStyle name="超链接" xfId="42" builtinId="8" hidden="1"/>
    <cellStyle name="超链接" xfId="44" builtinId="8" hidden="1"/>
    <cellStyle name="超链接" xfId="46" builtinId="8" hidden="1"/>
    <cellStyle name="超链接" xfId="48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  <cellStyle name="已访问的超链接" xfId="15" builtinId="9" hidden="1"/>
    <cellStyle name="已访问的超链接" xfId="17" builtinId="9" hidden="1"/>
    <cellStyle name="已访问的超链接" xfId="19" builtinId="9" hidden="1"/>
    <cellStyle name="已访问的超链接" xfId="21" builtinId="9" hidden="1"/>
    <cellStyle name="已访问的超链接" xfId="23" builtinId="9" hidden="1"/>
    <cellStyle name="已访问的超链接" xfId="25" builtinId="9" hidden="1"/>
    <cellStyle name="已访问的超链接" xfId="27" builtinId="9" hidden="1"/>
    <cellStyle name="已访问的超链接" xfId="29" builtinId="9" hidden="1"/>
    <cellStyle name="已访问的超链接" xfId="31" builtinId="9" hidden="1"/>
    <cellStyle name="已访问的超链接" xfId="33" builtinId="9" hidden="1"/>
    <cellStyle name="已访问的超链接" xfId="35" builtinId="9" hidden="1"/>
    <cellStyle name="已访问的超链接" xfId="37" builtinId="9" hidden="1"/>
    <cellStyle name="已访问的超链接" xfId="39" builtinId="9" hidden="1"/>
    <cellStyle name="已访问的超链接" xfId="41" builtinId="9" hidden="1"/>
    <cellStyle name="已访问的超链接" xfId="43" builtinId="9" hidden="1"/>
    <cellStyle name="已访问的超链接" xfId="45" builtinId="9" hidden="1"/>
    <cellStyle name="已访问的超链接" xfId="47" builtinId="9" hidden="1"/>
    <cellStyle name="已访问的超链接" xfId="49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_rels/chart4.xml.rels><?xml version="1.0" encoding="UTF-8" standalone="yes"?>
<Relationships xmlns="http://schemas.openxmlformats.org/package/2006/relationships"><Relationship Id="rId1" Type="http://schemas.microsoft.com/office/2011/relationships/chartStyle" Target="style4.xml"/><Relationship Id="rId2" Type="http://schemas.microsoft.com/office/2011/relationships/chartColorStyle" Target="colors4.xml"/></Relationships>
</file>

<file path=xl/charts/_rels/chart5.xml.rels><?xml version="1.0" encoding="UTF-8" standalone="yes"?>
<Relationships xmlns="http://schemas.openxmlformats.org/package/2006/relationships"><Relationship Id="rId1" Type="http://schemas.microsoft.com/office/2011/relationships/chartStyle" Target="style5.xml"/><Relationship Id="rId2" Type="http://schemas.microsoft.com/office/2011/relationships/chartColorStyle" Target="colors5.xml"/></Relationships>
</file>

<file path=xl/charts/_rels/chart6.xml.rels><?xml version="1.0" encoding="UTF-8" standalone="yes"?>
<Relationships xmlns="http://schemas.openxmlformats.org/package/2006/relationships"><Relationship Id="rId1" Type="http://schemas.microsoft.com/office/2011/relationships/chartStyle" Target="style6.xml"/><Relationship Id="rId2" Type="http://schemas.microsoft.com/office/2011/relationships/chartColorStyle" Target="colors6.xml"/></Relationships>
</file>

<file path=xl/charts/_rels/chart7.xml.rels><?xml version="1.0" encoding="UTF-8" standalone="yes"?>
<Relationships xmlns="http://schemas.openxmlformats.org/package/2006/relationships"><Relationship Id="rId1" Type="http://schemas.microsoft.com/office/2011/relationships/chartStyle" Target="style7.xml"/><Relationship Id="rId2" Type="http://schemas.microsoft.com/office/2011/relationships/chartColorStyle" Target="colors7.xml"/></Relationships>
</file>

<file path=xl/charts/_rels/chart8.xml.rels><?xml version="1.0" encoding="UTF-8" standalone="yes"?>
<Relationships xmlns="http://schemas.openxmlformats.org/package/2006/relationships"><Relationship Id="rId1" Type="http://schemas.microsoft.com/office/2011/relationships/chartStyle" Target="style8.xml"/><Relationship Id="rId2" Type="http://schemas.microsoft.com/office/2011/relationships/chartColorStyle" Target="colors8.xml"/></Relationships>
</file>

<file path=xl/charts/_rels/chart9.xml.rels><?xml version="1.0" encoding="UTF-8" standalone="yes"?>
<Relationships xmlns="http://schemas.openxmlformats.org/package/2006/relationships"><Relationship Id="rId1" Type="http://schemas.microsoft.com/office/2011/relationships/chartStyle" Target="style9.xml"/><Relationship Id="rId2" Type="http://schemas.microsoft.com/office/2011/relationships/chartColorStyle" Target="colors9.xml"/></Relationships>
</file>

<file path=xl/charts/_rels/chart10.xml.rels><?xml version="1.0" encoding="UTF-8" standalone="yes"?>
<Relationships xmlns="http://schemas.openxmlformats.org/package/2006/relationships"><Relationship Id="rId1" Type="http://schemas.microsoft.com/office/2011/relationships/chartStyle" Target="style10.xml"/><Relationship Id="rId2" Type="http://schemas.microsoft.com/office/2011/relationships/chartColorStyle" Target="colors10.xml"/></Relationships>
</file>

<file path=xl/charts/_rels/chart11.xml.rels><?xml version="1.0" encoding="UTF-8" standalone="yes"?>
<Relationships xmlns="http://schemas.openxmlformats.org/package/2006/relationships"><Relationship Id="rId1" Type="http://schemas.microsoft.com/office/2011/relationships/chartStyle" Target="style11.xml"/><Relationship Id="rId2" Type="http://schemas.microsoft.com/office/2011/relationships/chartColorStyle" Target="colors11.xml"/></Relationships>
</file>

<file path=xl/charts/_rels/chart12.xml.rels><?xml version="1.0" encoding="UTF-8" standalone="yes"?>
<Relationships xmlns="http://schemas.openxmlformats.org/package/2006/relationships"><Relationship Id="rId1" Type="http://schemas.microsoft.com/office/2011/relationships/chartStyle" Target="style12.xml"/><Relationship Id="rId2" Type="http://schemas.microsoft.com/office/2011/relationships/chartColorStyle" Target="colors12.xml"/></Relationships>
</file>

<file path=xl/charts/_rels/chart13.xml.rels><?xml version="1.0" encoding="UTF-8" standalone="yes"?>
<Relationships xmlns="http://schemas.openxmlformats.org/package/2006/relationships"><Relationship Id="rId1" Type="http://schemas.microsoft.com/office/2011/relationships/chartStyle" Target="style13.xml"/><Relationship Id="rId2" Type="http://schemas.microsoft.com/office/2011/relationships/chartColorStyle" Target="colors13.xml"/></Relationships>
</file>

<file path=xl/charts/_rels/chart14.xml.rels><?xml version="1.0" encoding="UTF-8" standalone="yes"?>
<Relationships xmlns="http://schemas.openxmlformats.org/package/2006/relationships"><Relationship Id="rId1" Type="http://schemas.microsoft.com/office/2011/relationships/chartStyle" Target="style14.xml"/><Relationship Id="rId2" Type="http://schemas.microsoft.com/office/2011/relationships/chartColorStyle" Target="colors14.xml"/></Relationships>
</file>

<file path=xl/charts/_rels/chart15.xml.rels><?xml version="1.0" encoding="UTF-8" standalone="yes"?>
<Relationships xmlns="http://schemas.openxmlformats.org/package/2006/relationships"><Relationship Id="rId1" Type="http://schemas.microsoft.com/office/2011/relationships/chartStyle" Target="style15.xml"/><Relationship Id="rId2" Type="http://schemas.microsoft.com/office/2011/relationships/chartColorStyle" Target="colors15.xml"/></Relationships>
</file>

<file path=xl/charts/_rels/chart16.xml.rels><?xml version="1.0" encoding="UTF-8" standalone="yes"?>
<Relationships xmlns="http://schemas.openxmlformats.org/package/2006/relationships"><Relationship Id="rId1" Type="http://schemas.microsoft.com/office/2011/relationships/chartStyle" Target="style16.xml"/><Relationship Id="rId2" Type="http://schemas.microsoft.com/office/2011/relationships/chartColorStyle" Target="colors16.xml"/></Relationships>
</file>

<file path=xl/charts/_rels/chart17.xml.rels><?xml version="1.0" encoding="UTF-8" standalone="yes"?>
<Relationships xmlns="http://schemas.openxmlformats.org/package/2006/relationships"><Relationship Id="rId1" Type="http://schemas.microsoft.com/office/2011/relationships/chartStyle" Target="style17.xml"/><Relationship Id="rId2" Type="http://schemas.microsoft.com/office/2011/relationships/chartColorStyle" Target="colors17.xml"/></Relationships>
</file>

<file path=xl/charts/_rels/chart18.xml.rels><?xml version="1.0" encoding="UTF-8" standalone="yes"?>
<Relationships xmlns="http://schemas.openxmlformats.org/package/2006/relationships"><Relationship Id="rId1" Type="http://schemas.microsoft.com/office/2011/relationships/chartStyle" Target="style18.xml"/><Relationship Id="rId2" Type="http://schemas.microsoft.com/office/2011/relationships/chartColorStyle" Target="colors18.xml"/></Relationships>
</file>

<file path=xl/charts/_rels/chart19.xml.rels><?xml version="1.0" encoding="UTF-8" standalone="yes"?>
<Relationships xmlns="http://schemas.openxmlformats.org/package/2006/relationships"><Relationship Id="rId1" Type="http://schemas.microsoft.com/office/2011/relationships/chartStyle" Target="style19.xml"/><Relationship Id="rId2" Type="http://schemas.microsoft.com/office/2011/relationships/chartColorStyle" Target="colors19.xml"/></Relationships>
</file>

<file path=xl/charts/_rels/chart20.xml.rels><?xml version="1.0" encoding="UTF-8" standalone="yes"?>
<Relationships xmlns="http://schemas.openxmlformats.org/package/2006/relationships"><Relationship Id="rId1" Type="http://schemas.microsoft.com/office/2011/relationships/chartStyle" Target="style20.xml"/><Relationship Id="rId2" Type="http://schemas.microsoft.com/office/2011/relationships/chartColorStyle" Target="colors20.xml"/></Relationships>
</file>

<file path=xl/charts/_rels/chart21.xml.rels><?xml version="1.0" encoding="UTF-8" standalone="yes"?>
<Relationships xmlns="http://schemas.openxmlformats.org/package/2006/relationships"><Relationship Id="rId1" Type="http://schemas.microsoft.com/office/2011/relationships/chartStyle" Target="style21.xml"/><Relationship Id="rId2" Type="http://schemas.microsoft.com/office/2011/relationships/chartColorStyle" Target="colors2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1" i="1" u="none" strike="noStrike" baseline="0">
                <a:effectLst/>
              </a:rPr>
              <a:t>Q1PersonalFP (ton)</a:t>
            </a:r>
            <a:r>
              <a:rPr lang="en-US" altLang="zh-CN" sz="1400" b="0" i="0" u="none" strike="noStrike" baseline="0"/>
              <a:t> </a:t>
            </a:r>
            <a:endParaRPr lang="zh-CN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'Q1+2+3+4PersonalFP'!$A$11:$A$30</c:f>
              <c:strCache>
                <c:ptCount val="20"/>
                <c:pt idx="0">
                  <c:v>electricity</c:v>
                </c:pt>
                <c:pt idx="1">
                  <c:v>natural gas</c:v>
                </c:pt>
                <c:pt idx="2">
                  <c:v>flight</c:v>
                </c:pt>
                <c:pt idx="3">
                  <c:v>Car</c:v>
                </c:pt>
                <c:pt idx="4">
                  <c:v>Bus</c:v>
                </c:pt>
                <c:pt idx="5">
                  <c:v>Metro</c:v>
                </c:pt>
                <c:pt idx="6">
                  <c:v>Taxi</c:v>
                </c:pt>
                <c:pt idx="7">
                  <c:v>Food and drink products</c:v>
                </c:pt>
                <c:pt idx="8">
                  <c:v>Pharmaceuticals</c:v>
                </c:pt>
                <c:pt idx="9">
                  <c:v>Clothes, textiles and shoes</c:v>
                </c:pt>
                <c:pt idx="10">
                  <c:v>Paper based products</c:v>
                </c:pt>
                <c:pt idx="11">
                  <c:v>Computers and IT equipment</c:v>
                </c:pt>
                <c:pt idx="12">
                  <c:v>Television, radio and phone</c:v>
                </c:pt>
                <c:pt idx="13">
                  <c:v>Motor vehicles</c:v>
                </c:pt>
                <c:pt idx="14">
                  <c:v>Furniture and other manufactured goods</c:v>
                </c:pt>
                <c:pt idx="15">
                  <c:v>Hotels, restaurants, and pubs etc.</c:v>
                </c:pt>
                <c:pt idx="16">
                  <c:v>Telephone, mobile/cell phone call costs</c:v>
                </c:pt>
                <c:pt idx="17">
                  <c:v>Banking and finance</c:v>
                </c:pt>
                <c:pt idx="18">
                  <c:v>Education</c:v>
                </c:pt>
                <c:pt idx="19">
                  <c:v>Recreational, cultural and sporting activities</c:v>
                </c:pt>
              </c:strCache>
            </c:strRef>
          </c:cat>
          <c:val>
            <c:numRef>
              <c:f>'Q1+2+3+4PersonalFP'!$D$11:$D$30</c:f>
              <c:numCache>
                <c:formatCode>General</c:formatCode>
                <c:ptCount val="20"/>
                <c:pt idx="0">
                  <c:v>0.48</c:v>
                </c:pt>
                <c:pt idx="1">
                  <c:v>0.12</c:v>
                </c:pt>
                <c:pt idx="2">
                  <c:v>2.74</c:v>
                </c:pt>
                <c:pt idx="3">
                  <c:v>1.42</c:v>
                </c:pt>
                <c:pt idx="4">
                  <c:v>0.21</c:v>
                </c:pt>
                <c:pt idx="5">
                  <c:v>0.47</c:v>
                </c:pt>
                <c:pt idx="6">
                  <c:v>0.62</c:v>
                </c:pt>
                <c:pt idx="7">
                  <c:v>17.4</c:v>
                </c:pt>
                <c:pt idx="8">
                  <c:v>2.04</c:v>
                </c:pt>
                <c:pt idx="9">
                  <c:v>2.76</c:v>
                </c:pt>
                <c:pt idx="10">
                  <c:v>0.6</c:v>
                </c:pt>
                <c:pt idx="11">
                  <c:v>5.4</c:v>
                </c:pt>
                <c:pt idx="12">
                  <c:v>3.24</c:v>
                </c:pt>
                <c:pt idx="13">
                  <c:v>12.84</c:v>
                </c:pt>
                <c:pt idx="14">
                  <c:v>4.08</c:v>
                </c:pt>
                <c:pt idx="15">
                  <c:v>1.08</c:v>
                </c:pt>
                <c:pt idx="16">
                  <c:v>0.48</c:v>
                </c:pt>
                <c:pt idx="17">
                  <c:v>15.12</c:v>
                </c:pt>
                <c:pt idx="18">
                  <c:v>2.04</c:v>
                </c:pt>
                <c:pt idx="19">
                  <c:v>1.2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278556032"/>
        <c:axId val="1317259424"/>
      </c:barChart>
      <c:catAx>
        <c:axId val="127855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17259424"/>
        <c:crosses val="autoZero"/>
        <c:auto val="1"/>
        <c:lblAlgn val="ctr"/>
        <c:lblOffset val="100"/>
        <c:noMultiLvlLbl val="0"/>
      </c:catAx>
      <c:valAx>
        <c:axId val="1317259424"/>
        <c:scaling>
          <c:orientation val="minMax"/>
          <c:max val="18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78556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1" i="1" u="none" strike="noStrike" baseline="0">
                <a:effectLst/>
              </a:rPr>
              <a:t>Q2BredaFP (ton)</a:t>
            </a:r>
            <a:r>
              <a:rPr lang="en-US" altLang="zh-CN" sz="1400" b="0" i="0" u="none" strike="noStrike" baseline="0"/>
              <a:t> </a:t>
            </a:r>
            <a:endParaRPr lang="zh-CN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'Q1+2+3+4PersonalFP'!$G$11:$G$27</c:f>
              <c:strCache>
                <c:ptCount val="17"/>
                <c:pt idx="0">
                  <c:v>electricity</c:v>
                </c:pt>
                <c:pt idx="1">
                  <c:v>natural gas</c:v>
                </c:pt>
                <c:pt idx="2">
                  <c:v>Car</c:v>
                </c:pt>
                <c:pt idx="3">
                  <c:v>Food and drink products</c:v>
                </c:pt>
                <c:pt idx="4">
                  <c:v>Pharmaceuticals</c:v>
                </c:pt>
                <c:pt idx="5">
                  <c:v>Clothes, textiles and shoes</c:v>
                </c:pt>
                <c:pt idx="6">
                  <c:v>Paper based products</c:v>
                </c:pt>
                <c:pt idx="7">
                  <c:v>Computers and IT equipment</c:v>
                </c:pt>
                <c:pt idx="8">
                  <c:v>Television, radio and phone</c:v>
                </c:pt>
                <c:pt idx="9">
                  <c:v>Motor vehicles</c:v>
                </c:pt>
                <c:pt idx="10">
                  <c:v>Furniture and other manufactured goods</c:v>
                </c:pt>
                <c:pt idx="11">
                  <c:v>Hotels, restaurants, and pubs etc.</c:v>
                </c:pt>
                <c:pt idx="12">
                  <c:v>Telephone, mobile/cell phone call costs</c:v>
                </c:pt>
                <c:pt idx="13">
                  <c:v>Banking and finance</c:v>
                </c:pt>
                <c:pt idx="14">
                  <c:v>Insurance</c:v>
                </c:pt>
                <c:pt idx="15">
                  <c:v>Education</c:v>
                </c:pt>
                <c:pt idx="16">
                  <c:v>Recreational, cultural and sporting activities</c:v>
                </c:pt>
              </c:strCache>
            </c:strRef>
          </c:cat>
          <c:val>
            <c:numRef>
              <c:f>'Q1+2+3+4PersonalFP'!$J$11:$J$27</c:f>
              <c:numCache>
                <c:formatCode>General</c:formatCode>
                <c:ptCount val="17"/>
                <c:pt idx="0">
                  <c:v>0.24</c:v>
                </c:pt>
                <c:pt idx="1">
                  <c:v>0.0</c:v>
                </c:pt>
                <c:pt idx="2">
                  <c:v>6.82</c:v>
                </c:pt>
                <c:pt idx="3">
                  <c:v>6.96</c:v>
                </c:pt>
                <c:pt idx="4">
                  <c:v>0.36</c:v>
                </c:pt>
                <c:pt idx="5">
                  <c:v>2.76</c:v>
                </c:pt>
                <c:pt idx="6">
                  <c:v>0.6</c:v>
                </c:pt>
                <c:pt idx="7">
                  <c:v>5.4</c:v>
                </c:pt>
                <c:pt idx="8">
                  <c:v>1.56</c:v>
                </c:pt>
                <c:pt idx="9">
                  <c:v>12.84</c:v>
                </c:pt>
                <c:pt idx="10">
                  <c:v>2.04</c:v>
                </c:pt>
                <c:pt idx="11">
                  <c:v>2.16</c:v>
                </c:pt>
                <c:pt idx="12">
                  <c:v>0.48</c:v>
                </c:pt>
                <c:pt idx="13">
                  <c:v>7.56</c:v>
                </c:pt>
                <c:pt idx="14">
                  <c:v>1.32</c:v>
                </c:pt>
                <c:pt idx="15">
                  <c:v>0.96</c:v>
                </c:pt>
                <c:pt idx="16">
                  <c:v>0.6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22078464"/>
        <c:axId val="1306883632"/>
      </c:barChart>
      <c:catAx>
        <c:axId val="1322078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06883632"/>
        <c:crosses val="autoZero"/>
        <c:auto val="1"/>
        <c:lblAlgn val="ctr"/>
        <c:lblOffset val="100"/>
        <c:noMultiLvlLbl val="0"/>
      </c:catAx>
      <c:valAx>
        <c:axId val="1306883632"/>
        <c:scaling>
          <c:orientation val="minMax"/>
          <c:max val="13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22078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Energy consumption</a:t>
            </a:r>
            <a:endParaRPr lang="zh-CN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6">
                <a:shade val="6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Q1TransportationFP!$AA$12:$AB$17</c:f>
              <c:multiLvlStrCache>
                <c:ptCount val="6"/>
                <c:lvl>
                  <c:pt idx="0">
                    <c:v>Airplane</c:v>
                  </c:pt>
                  <c:pt idx="1">
                    <c:v>Truck</c:v>
                  </c:pt>
                  <c:pt idx="2">
                    <c:v>Sea ship</c:v>
                  </c:pt>
                  <c:pt idx="3">
                    <c:v>Truck</c:v>
                  </c:pt>
                  <c:pt idx="4">
                    <c:v>NA</c:v>
                  </c:pt>
                  <c:pt idx="5">
                    <c:v>NA</c:v>
                  </c:pt>
                </c:lvl>
                <c:lvl>
                  <c:pt idx="0">
                    <c:v>Airplane</c:v>
                  </c:pt>
                  <c:pt idx="2">
                    <c:v>Sea ship</c:v>
                  </c:pt>
                  <c:pt idx="4">
                    <c:v>Train</c:v>
                  </c:pt>
                  <c:pt idx="5">
                    <c:v>Truck</c:v>
                  </c:pt>
                </c:lvl>
              </c:multiLvlStrCache>
            </c:multiLvlStrRef>
          </c:cat>
          <c:val>
            <c:numRef>
              <c:f>Q1TransportationFP!$AC$12:$AC$17</c:f>
              <c:numCache>
                <c:formatCode>General</c:formatCode>
                <c:ptCount val="6"/>
                <c:pt idx="0">
                  <c:v>49830.0</c:v>
                </c:pt>
                <c:pt idx="1">
                  <c:v>84.0</c:v>
                </c:pt>
                <c:pt idx="2">
                  <c:v>350.0</c:v>
                </c:pt>
                <c:pt idx="3">
                  <c:v>71.0</c:v>
                </c:pt>
                <c:pt idx="4">
                  <c:v>3329.0</c:v>
                </c:pt>
                <c:pt idx="5">
                  <c:v>18262.0</c:v>
                </c:pt>
              </c:numCache>
            </c:numRef>
          </c:val>
        </c:ser>
        <c:ser>
          <c:idx val="1"/>
          <c:order val="1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Q1TransportationFP!$AA$12:$AB$17</c:f>
              <c:multiLvlStrCache>
                <c:ptCount val="6"/>
                <c:lvl>
                  <c:pt idx="0">
                    <c:v>Airplane</c:v>
                  </c:pt>
                  <c:pt idx="1">
                    <c:v>Truck</c:v>
                  </c:pt>
                  <c:pt idx="2">
                    <c:v>Sea ship</c:v>
                  </c:pt>
                  <c:pt idx="3">
                    <c:v>Truck</c:v>
                  </c:pt>
                  <c:pt idx="4">
                    <c:v>NA</c:v>
                  </c:pt>
                  <c:pt idx="5">
                    <c:v>NA</c:v>
                  </c:pt>
                </c:lvl>
                <c:lvl>
                  <c:pt idx="0">
                    <c:v>Airplane</c:v>
                  </c:pt>
                  <c:pt idx="2">
                    <c:v>Sea ship</c:v>
                  </c:pt>
                  <c:pt idx="4">
                    <c:v>Train</c:v>
                  </c:pt>
                  <c:pt idx="5">
                    <c:v>Truck</c:v>
                  </c:pt>
                </c:lvl>
              </c:multiLvlStrCache>
            </c:multiLvlStrRef>
          </c:cat>
          <c:val>
            <c:numRef>
              <c:f>Q1TransportationFP!$AD$12:$AD$17</c:f>
              <c:numCache>
                <c:formatCode>General</c:formatCode>
                <c:ptCount val="6"/>
                <c:pt idx="0">
                  <c:v>9491.0</c:v>
                </c:pt>
                <c:pt idx="1">
                  <c:v>17.0</c:v>
                </c:pt>
                <c:pt idx="2">
                  <c:v>31.0</c:v>
                </c:pt>
                <c:pt idx="3">
                  <c:v>14.0</c:v>
                </c:pt>
                <c:pt idx="4">
                  <c:v>8124.0</c:v>
                </c:pt>
                <c:pt idx="5">
                  <c:v>3636.0</c:v>
                </c:pt>
              </c:numCache>
            </c:numRef>
          </c:val>
        </c:ser>
        <c:ser>
          <c:idx val="2"/>
          <c:order val="2"/>
          <c:spPr>
            <a:solidFill>
              <a:schemeClr val="accent6">
                <a:tint val="6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Q1TransportationFP!$AA$12:$AB$17</c:f>
              <c:multiLvlStrCache>
                <c:ptCount val="6"/>
                <c:lvl>
                  <c:pt idx="0">
                    <c:v>Airplane</c:v>
                  </c:pt>
                  <c:pt idx="1">
                    <c:v>Truck</c:v>
                  </c:pt>
                  <c:pt idx="2">
                    <c:v>Sea ship</c:v>
                  </c:pt>
                  <c:pt idx="3">
                    <c:v>Truck</c:v>
                  </c:pt>
                  <c:pt idx="4">
                    <c:v>NA</c:v>
                  </c:pt>
                  <c:pt idx="5">
                    <c:v>NA</c:v>
                  </c:pt>
                </c:lvl>
                <c:lvl>
                  <c:pt idx="0">
                    <c:v>Airplane</c:v>
                  </c:pt>
                  <c:pt idx="2">
                    <c:v>Sea ship</c:v>
                  </c:pt>
                  <c:pt idx="4">
                    <c:v>Train</c:v>
                  </c:pt>
                  <c:pt idx="5">
                    <c:v>Truck</c:v>
                  </c:pt>
                </c:lvl>
              </c:multiLvlStrCache>
            </c:multiLvlStrRef>
          </c:cat>
          <c:val>
            <c:numRef>
              <c:f>Q1TransportationFP!#REF!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val>
        </c:ser>
        <c:dLbls>
          <c:dLblPos val="inBase"/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8615920"/>
        <c:axId val="1228617696"/>
      </c:barChart>
      <c:catAx>
        <c:axId val="1228615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28617696"/>
        <c:crosses val="autoZero"/>
        <c:auto val="1"/>
        <c:lblAlgn val="ctr"/>
        <c:lblOffset val="100"/>
        <c:noMultiLvlLbl val="0"/>
      </c:catAx>
      <c:valAx>
        <c:axId val="1228617696"/>
        <c:scaling>
          <c:orientation val="minMax"/>
          <c:max val="6000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28615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Truck-kilogram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TTW</c:v>
          </c:tx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Q1TransportationFP!$AC$68:$AC$71</c:f>
              <c:strCache>
                <c:ptCount val="4"/>
                <c:pt idx="0">
                  <c:v>Nitrogen oxides</c:v>
                </c:pt>
                <c:pt idx="1">
                  <c:v>Non-methane hydrocarbon</c:v>
                </c:pt>
                <c:pt idx="2">
                  <c:v>Particulate matter</c:v>
                </c:pt>
                <c:pt idx="3">
                  <c:v>Sulfur dioxide</c:v>
                </c:pt>
              </c:strCache>
            </c:strRef>
          </c:cat>
          <c:val>
            <c:numRef>
              <c:f>Q1TransportationFP!$AD$68:$AD$71</c:f>
              <c:numCache>
                <c:formatCode>General</c:formatCode>
                <c:ptCount val="4"/>
                <c:pt idx="0">
                  <c:v>11.23</c:v>
                </c:pt>
                <c:pt idx="1">
                  <c:v>0.4</c:v>
                </c:pt>
                <c:pt idx="2">
                  <c:v>0.238</c:v>
                </c:pt>
                <c:pt idx="3">
                  <c:v>0.076</c:v>
                </c:pt>
              </c:numCache>
            </c:numRef>
          </c:val>
        </c:ser>
        <c:ser>
          <c:idx val="1"/>
          <c:order val="1"/>
          <c:tx>
            <c:v>WTT</c:v>
          </c:tx>
          <c:spPr>
            <a:solidFill>
              <a:schemeClr val="accent6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Q1TransportationFP!$AC$68:$AC$71</c:f>
              <c:strCache>
                <c:ptCount val="4"/>
                <c:pt idx="0">
                  <c:v>Nitrogen oxides</c:v>
                </c:pt>
                <c:pt idx="1">
                  <c:v>Non-methane hydrocarbon</c:v>
                </c:pt>
                <c:pt idx="2">
                  <c:v>Particulate matter</c:v>
                </c:pt>
                <c:pt idx="3">
                  <c:v>Sulfur dioxide</c:v>
                </c:pt>
              </c:strCache>
            </c:strRef>
          </c:cat>
          <c:val>
            <c:numRef>
              <c:f>Q1TransportationFP!$AE$68:$AE$71</c:f>
              <c:numCache>
                <c:formatCode>General</c:formatCode>
                <c:ptCount val="4"/>
                <c:pt idx="0">
                  <c:v>0.71</c:v>
                </c:pt>
                <c:pt idx="1">
                  <c:v>0.45</c:v>
                </c:pt>
                <c:pt idx="2">
                  <c:v>0.028</c:v>
                </c:pt>
                <c:pt idx="3">
                  <c:v>0.565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31448112"/>
        <c:axId val="1231449472"/>
      </c:barChart>
      <c:catAx>
        <c:axId val="1231448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31449472"/>
        <c:crosses val="autoZero"/>
        <c:auto val="1"/>
        <c:lblAlgn val="ctr"/>
        <c:lblOffset val="100"/>
        <c:noMultiLvlLbl val="0"/>
      </c:catAx>
      <c:valAx>
        <c:axId val="1231449472"/>
        <c:scaling>
          <c:orientation val="minMax"/>
          <c:max val="12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31448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Truck-Kilowatthours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stacked"/>
        <c:varyColors val="0"/>
        <c:ser>
          <c:idx val="3"/>
          <c:order val="0"/>
          <c:tx>
            <c:strRef>
              <c:f>Q1TransportationFP!$AC$72</c:f>
              <c:strCache>
                <c:ptCount val="1"/>
                <c:pt idx="0">
                  <c:v>Energy consumption</c:v>
                </c:pt>
              </c:strCache>
            </c:strRef>
          </c:tx>
          <c:spPr>
            <a:solidFill>
              <a:schemeClr val="accent6">
                <a:tint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Q1TransportationFP!$AD$67:$AE$67</c:f>
              <c:strCache>
                <c:ptCount val="2"/>
                <c:pt idx="0">
                  <c:v>TTW</c:v>
                </c:pt>
                <c:pt idx="1">
                  <c:v>WTT</c:v>
                </c:pt>
              </c:strCache>
            </c:strRef>
          </c:cat>
          <c:val>
            <c:numRef>
              <c:f>Q1TransportationFP!$AD$72:$AE$72</c:f>
              <c:numCache>
                <c:formatCode>General</c:formatCode>
                <c:ptCount val="2"/>
                <c:pt idx="0">
                  <c:v>18262.0</c:v>
                </c:pt>
                <c:pt idx="1">
                  <c:v>3636.0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01846864"/>
        <c:axId val="1301907872"/>
      </c:barChart>
      <c:catAx>
        <c:axId val="1301846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01907872"/>
        <c:crosses val="autoZero"/>
        <c:auto val="0"/>
        <c:lblAlgn val="ctr"/>
        <c:lblOffset val="100"/>
        <c:noMultiLvlLbl val="0"/>
      </c:catAx>
      <c:valAx>
        <c:axId val="1301907872"/>
        <c:scaling>
          <c:orientation val="minMax"/>
          <c:max val="2200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01846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Truck-Tonnes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stacked"/>
        <c:varyColors val="0"/>
        <c:ser>
          <c:idx val="3"/>
          <c:order val="0"/>
          <c:tx>
            <c:v>TTW</c:v>
          </c:tx>
          <c:spPr>
            <a:solidFill>
              <a:schemeClr val="accent6">
                <a:tint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Q1TransportationFP!$AC$73:$AC$74</c:f>
              <c:strCache>
                <c:ptCount val="2"/>
                <c:pt idx="0">
                  <c:v>CO2 emissions</c:v>
                </c:pt>
                <c:pt idx="1">
                  <c:v>GHG emissions as CO2e</c:v>
                </c:pt>
              </c:strCache>
            </c:strRef>
          </c:cat>
          <c:val>
            <c:numRef>
              <c:f>Q1TransportationFP!$AD$73:$AD$74</c:f>
              <c:numCache>
                <c:formatCode>General</c:formatCode>
                <c:ptCount val="2"/>
                <c:pt idx="0">
                  <c:v>1.33</c:v>
                </c:pt>
                <c:pt idx="1">
                  <c:v>1.35</c:v>
                </c:pt>
              </c:numCache>
            </c:numRef>
          </c:val>
        </c:ser>
        <c:ser>
          <c:idx val="0"/>
          <c:order val="1"/>
          <c:tx>
            <c:v>WTT</c:v>
          </c:tx>
          <c:spPr>
            <a:solidFill>
              <a:schemeClr val="accent6">
                <a:shade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Q1TransportationFP!$AC$73:$AC$74</c:f>
              <c:strCache>
                <c:ptCount val="2"/>
                <c:pt idx="0">
                  <c:v>CO2 emissions</c:v>
                </c:pt>
                <c:pt idx="1">
                  <c:v>GHG emissions as CO2e</c:v>
                </c:pt>
              </c:strCache>
            </c:strRef>
          </c:cat>
          <c:val>
            <c:numRef>
              <c:f>Q1TransportationFP!$AE$73:$AE$74</c:f>
              <c:numCache>
                <c:formatCode>General</c:formatCode>
                <c:ptCount val="2"/>
                <c:pt idx="0">
                  <c:v>0.29</c:v>
                </c:pt>
                <c:pt idx="1">
                  <c:v>0.3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32689104"/>
        <c:axId val="1648680272"/>
      </c:barChart>
      <c:catAx>
        <c:axId val="1232689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648680272"/>
        <c:crosses val="autoZero"/>
        <c:auto val="0"/>
        <c:lblAlgn val="ctr"/>
        <c:lblOffset val="100"/>
        <c:noMultiLvlLbl val="0"/>
      </c:catAx>
      <c:valAx>
        <c:axId val="1648680272"/>
        <c:scaling>
          <c:orientation val="minMax"/>
          <c:max val="1.75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32689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Train-kilogram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TTW</c:v>
          </c:tx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Q1TransportationFP!$AC$77:$AC$80</c:f>
              <c:strCache>
                <c:ptCount val="4"/>
                <c:pt idx="0">
                  <c:v>Nitrogen oxides</c:v>
                </c:pt>
                <c:pt idx="1">
                  <c:v>Non-methane hydrocarbon</c:v>
                </c:pt>
                <c:pt idx="2">
                  <c:v>Particulate matter</c:v>
                </c:pt>
                <c:pt idx="3">
                  <c:v>Sulfur dioxide</c:v>
                </c:pt>
              </c:strCache>
            </c:strRef>
          </c:cat>
          <c:val>
            <c:numRef>
              <c:f>Q1TransportationFP!$AD$77:$AD$80</c:f>
              <c:numCache>
                <c:formatCode>General</c:formatCode>
                <c:ptCount val="4"/>
                <c:pt idx="0">
                  <c:v>1.16</c:v>
                </c:pt>
                <c:pt idx="1">
                  <c:v>0.053</c:v>
                </c:pt>
                <c:pt idx="2">
                  <c:v>0.013</c:v>
                </c:pt>
                <c:pt idx="3">
                  <c:v>0.0025</c:v>
                </c:pt>
              </c:numCache>
            </c:numRef>
          </c:val>
        </c:ser>
        <c:ser>
          <c:idx val="1"/>
          <c:order val="1"/>
          <c:tx>
            <c:v>WTT</c:v>
          </c:tx>
          <c:spPr>
            <a:solidFill>
              <a:schemeClr val="accent6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Q1TransportationFP!$AC$77:$AC$80</c:f>
              <c:strCache>
                <c:ptCount val="4"/>
                <c:pt idx="0">
                  <c:v>Nitrogen oxides</c:v>
                </c:pt>
                <c:pt idx="1">
                  <c:v>Non-methane hydrocarbon</c:v>
                </c:pt>
                <c:pt idx="2">
                  <c:v>Particulate matter</c:v>
                </c:pt>
                <c:pt idx="3">
                  <c:v>Sulfur dioxide</c:v>
                </c:pt>
              </c:strCache>
            </c:strRef>
          </c:cat>
          <c:val>
            <c:numRef>
              <c:f>Q1TransportationFP!$AE$77:$AE$80</c:f>
              <c:numCache>
                <c:formatCode>General</c:formatCode>
                <c:ptCount val="4"/>
                <c:pt idx="0">
                  <c:v>1.98</c:v>
                </c:pt>
                <c:pt idx="1">
                  <c:v>0.051</c:v>
                </c:pt>
                <c:pt idx="2">
                  <c:v>0.28</c:v>
                </c:pt>
                <c:pt idx="3">
                  <c:v>1.72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5366688"/>
        <c:axId val="1278478032"/>
      </c:barChart>
      <c:catAx>
        <c:axId val="122536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78478032"/>
        <c:crosses val="autoZero"/>
        <c:auto val="1"/>
        <c:lblAlgn val="ctr"/>
        <c:lblOffset val="100"/>
        <c:noMultiLvlLbl val="0"/>
      </c:catAx>
      <c:valAx>
        <c:axId val="1278478032"/>
        <c:scaling>
          <c:orientation val="minMax"/>
          <c:max val="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25366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baseline="0">
                <a:effectLst/>
              </a:rPr>
              <a:t>Train</a:t>
            </a:r>
            <a:r>
              <a:rPr lang="en-US" altLang="zh-CN"/>
              <a:t>-Tonnes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stacked"/>
        <c:varyColors val="0"/>
        <c:ser>
          <c:idx val="3"/>
          <c:order val="0"/>
          <c:tx>
            <c:v>TTW</c:v>
          </c:tx>
          <c:spPr>
            <a:solidFill>
              <a:schemeClr val="accent6">
                <a:tint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Q1TransportationFP!$AC$82:$AC$83</c:f>
              <c:strCache>
                <c:ptCount val="2"/>
                <c:pt idx="0">
                  <c:v>CO2 emissions</c:v>
                </c:pt>
                <c:pt idx="1">
                  <c:v>GHG emissions as CO2e</c:v>
                </c:pt>
              </c:strCache>
            </c:strRef>
          </c:cat>
          <c:val>
            <c:numRef>
              <c:f>Q1TransportationFP!$AD$82:$AD$83</c:f>
              <c:numCache>
                <c:formatCode>General</c:formatCode>
                <c:ptCount val="2"/>
                <c:pt idx="0">
                  <c:v>0.08</c:v>
                </c:pt>
                <c:pt idx="1">
                  <c:v>0.081</c:v>
                </c:pt>
              </c:numCache>
            </c:numRef>
          </c:val>
        </c:ser>
        <c:ser>
          <c:idx val="0"/>
          <c:order val="1"/>
          <c:tx>
            <c:v>WTT</c:v>
          </c:tx>
          <c:spPr>
            <a:solidFill>
              <a:schemeClr val="accent6">
                <a:shade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Q1TransportationFP!$AC$82:$AC$83</c:f>
              <c:strCache>
                <c:ptCount val="2"/>
                <c:pt idx="0">
                  <c:v>CO2 emissions</c:v>
                </c:pt>
                <c:pt idx="1">
                  <c:v>GHG emissions as CO2e</c:v>
                </c:pt>
              </c:strCache>
            </c:strRef>
          </c:cat>
          <c:val>
            <c:numRef>
              <c:f>Q1TransportationFP!$AE$82:$AE$83</c:f>
              <c:numCache>
                <c:formatCode>General</c:formatCode>
                <c:ptCount val="2"/>
                <c:pt idx="0">
                  <c:v>0.698</c:v>
                </c:pt>
                <c:pt idx="1">
                  <c:v>0.757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8863056"/>
        <c:axId val="1301183376"/>
      </c:barChart>
      <c:catAx>
        <c:axId val="1228863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01183376"/>
        <c:crosses val="autoZero"/>
        <c:auto val="0"/>
        <c:lblAlgn val="ctr"/>
        <c:lblOffset val="100"/>
        <c:noMultiLvlLbl val="0"/>
      </c:catAx>
      <c:valAx>
        <c:axId val="1301183376"/>
        <c:scaling>
          <c:orientation val="minMax"/>
          <c:max val="0.9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28863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baseline="0">
                <a:effectLst/>
              </a:rPr>
              <a:t>Train</a:t>
            </a:r>
            <a:r>
              <a:rPr lang="en-US" altLang="zh-CN"/>
              <a:t>-Kilowatthours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stacked"/>
        <c:varyColors val="0"/>
        <c:ser>
          <c:idx val="3"/>
          <c:order val="0"/>
          <c:tx>
            <c:strRef>
              <c:f>Q1TransportationFP!$AC$81</c:f>
              <c:strCache>
                <c:ptCount val="1"/>
                <c:pt idx="0">
                  <c:v>Energy consumption</c:v>
                </c:pt>
              </c:strCache>
            </c:strRef>
          </c:tx>
          <c:spPr>
            <a:solidFill>
              <a:schemeClr val="accent6">
                <a:tint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Q1TransportationFP!$AD$76:$AE$76</c:f>
              <c:strCache>
                <c:ptCount val="2"/>
                <c:pt idx="0">
                  <c:v>TTW</c:v>
                </c:pt>
                <c:pt idx="1">
                  <c:v>WTT</c:v>
                </c:pt>
              </c:strCache>
            </c:strRef>
          </c:cat>
          <c:val>
            <c:numRef>
              <c:f>Q1TransportationFP!$AD$81:$AE$81</c:f>
              <c:numCache>
                <c:formatCode>General</c:formatCode>
                <c:ptCount val="2"/>
                <c:pt idx="0">
                  <c:v>3329.0</c:v>
                </c:pt>
                <c:pt idx="1">
                  <c:v>8124.0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01570560"/>
        <c:axId val="1278431904"/>
      </c:barChart>
      <c:catAx>
        <c:axId val="1301570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78431904"/>
        <c:crosses val="autoZero"/>
        <c:auto val="0"/>
        <c:lblAlgn val="ctr"/>
        <c:lblOffset val="100"/>
        <c:noMultiLvlLbl val="0"/>
      </c:catAx>
      <c:valAx>
        <c:axId val="1278431904"/>
        <c:scaling>
          <c:orientation val="minMax"/>
          <c:max val="850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01570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baseline="0">
                <a:effectLst/>
              </a:rPr>
              <a:t>Airplane</a:t>
            </a:r>
            <a:r>
              <a:rPr lang="en-US" altLang="zh-CN"/>
              <a:t>-Tonnes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stacked"/>
        <c:varyColors val="0"/>
        <c:ser>
          <c:idx val="3"/>
          <c:order val="0"/>
          <c:tx>
            <c:strRef>
              <c:f>Q1TransportationFP!$AD$91</c:f>
              <c:strCache>
                <c:ptCount val="1"/>
                <c:pt idx="0">
                  <c:v>CO2 emissions</c:v>
                </c:pt>
              </c:strCache>
            </c:strRef>
          </c:tx>
          <c:spPr>
            <a:solidFill>
              <a:schemeClr val="accent6">
                <a:tint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Q1TransportationFP!$AE$85:$AH$85</c:f>
              <c:strCache>
                <c:ptCount val="4"/>
                <c:pt idx="0">
                  <c:v>TTW-airplane</c:v>
                </c:pt>
                <c:pt idx="1">
                  <c:v>WTT-airplane</c:v>
                </c:pt>
                <c:pt idx="2">
                  <c:v>TTW-truck</c:v>
                </c:pt>
                <c:pt idx="3">
                  <c:v>WTT-truck</c:v>
                </c:pt>
              </c:strCache>
            </c:strRef>
          </c:cat>
          <c:val>
            <c:numRef>
              <c:f>Q1TransportationFP!$AE$91:$AH$91</c:f>
              <c:numCache>
                <c:formatCode>General</c:formatCode>
                <c:ptCount val="4"/>
                <c:pt idx="0">
                  <c:v>12.8262</c:v>
                </c:pt>
                <c:pt idx="1">
                  <c:v>2.8343</c:v>
                </c:pt>
                <c:pt idx="2">
                  <c:v>0.0221</c:v>
                </c:pt>
                <c:pt idx="3">
                  <c:v>0.0048</c:v>
                </c:pt>
              </c:numCache>
            </c:numRef>
          </c:val>
        </c:ser>
        <c:ser>
          <c:idx val="0"/>
          <c:order val="1"/>
          <c:tx>
            <c:strRef>
              <c:f>Q1TransportationFP!$AD$92</c:f>
              <c:strCache>
                <c:ptCount val="1"/>
                <c:pt idx="0">
                  <c:v>GHG emissions as CO2e</c:v>
                </c:pt>
              </c:strCache>
            </c:strRef>
          </c:tx>
          <c:spPr>
            <a:solidFill>
              <a:schemeClr val="accent6">
                <a:shade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Q1TransportationFP!$AE$85:$AH$85</c:f>
              <c:strCache>
                <c:ptCount val="4"/>
                <c:pt idx="0">
                  <c:v>TTW-airplane</c:v>
                </c:pt>
                <c:pt idx="1">
                  <c:v>WTT-airplane</c:v>
                </c:pt>
                <c:pt idx="2">
                  <c:v>TTW-truck</c:v>
                </c:pt>
                <c:pt idx="3">
                  <c:v>WTT-truck</c:v>
                </c:pt>
              </c:strCache>
            </c:strRef>
          </c:cat>
          <c:val>
            <c:numRef>
              <c:f>Q1TransportationFP!$AE$92:$AH$92</c:f>
              <c:numCache>
                <c:formatCode>General</c:formatCode>
                <c:ptCount val="4"/>
                <c:pt idx="0">
                  <c:v>12.9338</c:v>
                </c:pt>
                <c:pt idx="1">
                  <c:v>2.8523</c:v>
                </c:pt>
                <c:pt idx="2">
                  <c:v>0.0224</c:v>
                </c:pt>
                <c:pt idx="3">
                  <c:v>0.005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8981776"/>
        <c:axId val="1188187216"/>
      </c:barChart>
      <c:catAx>
        <c:axId val="1228981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88187216"/>
        <c:crosses val="autoZero"/>
        <c:auto val="0"/>
        <c:lblAlgn val="ctr"/>
        <c:lblOffset val="100"/>
        <c:noMultiLvlLbl val="0"/>
      </c:catAx>
      <c:valAx>
        <c:axId val="1188187216"/>
        <c:scaling>
          <c:orientation val="minMax"/>
          <c:max val="27.5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28981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Airplane-kilogram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Q1TransportationFP!$AD$86</c:f>
              <c:strCache>
                <c:ptCount val="1"/>
                <c:pt idx="0">
                  <c:v>Nitrogen oxides</c:v>
                </c:pt>
              </c:strCache>
            </c:strRef>
          </c:tx>
          <c:spPr>
            <a:solidFill>
              <a:schemeClr val="accent6">
                <a:shade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Q1TransportationFP!$AE$85:$AH$85</c:f>
              <c:strCache>
                <c:ptCount val="4"/>
                <c:pt idx="0">
                  <c:v>TTW-airplane</c:v>
                </c:pt>
                <c:pt idx="1">
                  <c:v>WTT-airplane</c:v>
                </c:pt>
                <c:pt idx="2">
                  <c:v>TTW-truck</c:v>
                </c:pt>
                <c:pt idx="3">
                  <c:v>WTT-truck</c:v>
                </c:pt>
              </c:strCache>
            </c:strRef>
          </c:cat>
          <c:val>
            <c:numRef>
              <c:f>Q1TransportationFP!$AE$86:$AH$86</c:f>
              <c:numCache>
                <c:formatCode>General</c:formatCode>
                <c:ptCount val="4"/>
                <c:pt idx="0">
                  <c:v>48.404</c:v>
                </c:pt>
                <c:pt idx="1">
                  <c:v>6.896</c:v>
                </c:pt>
                <c:pt idx="2">
                  <c:v>0.062</c:v>
                </c:pt>
                <c:pt idx="3">
                  <c:v>0.012</c:v>
                </c:pt>
              </c:numCache>
            </c:numRef>
          </c:val>
        </c:ser>
        <c:ser>
          <c:idx val="1"/>
          <c:order val="1"/>
          <c:tx>
            <c:strRef>
              <c:f>Q1TransportationFP!$AD$87</c:f>
              <c:strCache>
                <c:ptCount val="1"/>
                <c:pt idx="0">
                  <c:v>Non-methane hydrocarbon</c:v>
                </c:pt>
              </c:strCache>
            </c:strRef>
          </c:tx>
          <c:spPr>
            <a:solidFill>
              <a:schemeClr val="accent6">
                <a:shade val="86000"/>
              </a:schemeClr>
            </a:solidFill>
            <a:ln>
              <a:noFill/>
            </a:ln>
            <a:effectLst/>
          </c:spPr>
          <c:invertIfNegative val="0"/>
          <c:cat>
            <c:strRef>
              <c:f>Q1TransportationFP!$AE$85:$AH$85</c:f>
              <c:strCache>
                <c:ptCount val="4"/>
                <c:pt idx="0">
                  <c:v>TTW-airplane</c:v>
                </c:pt>
                <c:pt idx="1">
                  <c:v>WTT-airplane</c:v>
                </c:pt>
                <c:pt idx="2">
                  <c:v>TTW-truck</c:v>
                </c:pt>
                <c:pt idx="3">
                  <c:v>WTT-truck</c:v>
                </c:pt>
              </c:strCache>
            </c:strRef>
          </c:cat>
          <c:val>
            <c:numRef>
              <c:f>Q1TransportationFP!$AE$87:$AH$87</c:f>
              <c:numCache>
                <c:formatCode>General</c:formatCode>
                <c:ptCount val="4"/>
                <c:pt idx="0">
                  <c:v>1.986</c:v>
                </c:pt>
                <c:pt idx="1">
                  <c:v>4.4648</c:v>
                </c:pt>
                <c:pt idx="2">
                  <c:v>0.001</c:v>
                </c:pt>
                <c:pt idx="3">
                  <c:v>0.0075</c:v>
                </c:pt>
              </c:numCache>
            </c:numRef>
          </c:val>
        </c:ser>
        <c:ser>
          <c:idx val="2"/>
          <c:order val="2"/>
          <c:tx>
            <c:strRef>
              <c:f>Q1TransportationFP!$AD$88</c:f>
              <c:strCache>
                <c:ptCount val="1"/>
                <c:pt idx="0">
                  <c:v>Particulate matter</c:v>
                </c:pt>
              </c:strCache>
            </c:strRef>
          </c:tx>
          <c:spPr>
            <a:solidFill>
              <a:schemeClr val="accent6">
                <a:tint val="86000"/>
              </a:schemeClr>
            </a:solidFill>
            <a:ln>
              <a:noFill/>
            </a:ln>
            <a:effectLst/>
          </c:spPr>
          <c:invertIfNegative val="0"/>
          <c:cat>
            <c:strRef>
              <c:f>Q1TransportationFP!$AE$85:$AH$85</c:f>
              <c:strCache>
                <c:ptCount val="4"/>
                <c:pt idx="0">
                  <c:v>TTW-airplane</c:v>
                </c:pt>
                <c:pt idx="1">
                  <c:v>WTT-airplane</c:v>
                </c:pt>
                <c:pt idx="2">
                  <c:v>TTW-truck</c:v>
                </c:pt>
                <c:pt idx="3">
                  <c:v>WTT-truck</c:v>
                </c:pt>
              </c:strCache>
            </c:strRef>
          </c:cat>
          <c:val>
            <c:numRef>
              <c:f>Q1TransportationFP!$AE$88:$AH$88</c:f>
              <c:numCache>
                <c:formatCode>General</c:formatCode>
                <c:ptCount val="4"/>
                <c:pt idx="0">
                  <c:v>0.40452</c:v>
                </c:pt>
                <c:pt idx="1">
                  <c:v>0.2641</c:v>
                </c:pt>
                <c:pt idx="2">
                  <c:v>0.00104</c:v>
                </c:pt>
                <c:pt idx="3">
                  <c:v>0.00045</c:v>
                </c:pt>
              </c:numCache>
            </c:numRef>
          </c:val>
        </c:ser>
        <c:ser>
          <c:idx val="3"/>
          <c:order val="3"/>
          <c:tx>
            <c:strRef>
              <c:f>Q1TransportationFP!$AD$89</c:f>
              <c:strCache>
                <c:ptCount val="1"/>
                <c:pt idx="0">
                  <c:v>Sulfur dioxide</c:v>
                </c:pt>
              </c:strCache>
            </c:strRef>
          </c:tx>
          <c:spPr>
            <a:solidFill>
              <a:schemeClr val="accent6">
                <a:tint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Q1TransportationFP!$AE$85:$AH$85</c:f>
              <c:strCache>
                <c:ptCount val="4"/>
                <c:pt idx="0">
                  <c:v>TTW-airplane</c:v>
                </c:pt>
                <c:pt idx="1">
                  <c:v>WTT-airplane</c:v>
                </c:pt>
                <c:pt idx="2">
                  <c:v>TTW-truck</c:v>
                </c:pt>
                <c:pt idx="3">
                  <c:v>WTT-truck</c:v>
                </c:pt>
              </c:strCache>
            </c:strRef>
          </c:cat>
          <c:val>
            <c:numRef>
              <c:f>Q1TransportationFP!$AE$89:$AH$89</c:f>
              <c:numCache>
                <c:formatCode>General</c:formatCode>
                <c:ptCount val="4"/>
                <c:pt idx="0">
                  <c:v>3.4169</c:v>
                </c:pt>
                <c:pt idx="1">
                  <c:v>5.5361</c:v>
                </c:pt>
                <c:pt idx="2">
                  <c:v>0.0007</c:v>
                </c:pt>
                <c:pt idx="3">
                  <c:v>0.00938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80405936"/>
        <c:axId val="1280407712"/>
      </c:barChart>
      <c:catAx>
        <c:axId val="1280405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80407712"/>
        <c:crosses val="autoZero"/>
        <c:auto val="1"/>
        <c:lblAlgn val="ctr"/>
        <c:lblOffset val="100"/>
        <c:noMultiLvlLbl val="0"/>
      </c:catAx>
      <c:valAx>
        <c:axId val="1280407712"/>
        <c:scaling>
          <c:orientation val="minMax"/>
          <c:max val="6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80405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baseline="0">
                <a:effectLst/>
              </a:rPr>
              <a:t>Airplane</a:t>
            </a:r>
            <a:r>
              <a:rPr lang="en-US" altLang="zh-CN"/>
              <a:t>-Kilowatthours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stacked"/>
        <c:varyColors val="0"/>
        <c:ser>
          <c:idx val="3"/>
          <c:order val="0"/>
          <c:tx>
            <c:strRef>
              <c:f>Q1TransportationFP!$AD$90</c:f>
              <c:strCache>
                <c:ptCount val="1"/>
                <c:pt idx="0">
                  <c:v>Energy consumption</c:v>
                </c:pt>
              </c:strCache>
            </c:strRef>
          </c:tx>
          <c:spPr>
            <a:solidFill>
              <a:schemeClr val="accent6">
                <a:tint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Q1TransportationFP!$AE$85:$AH$85</c:f>
              <c:strCache>
                <c:ptCount val="4"/>
                <c:pt idx="0">
                  <c:v>TTW-airplane</c:v>
                </c:pt>
                <c:pt idx="1">
                  <c:v>WTT-airplane</c:v>
                </c:pt>
                <c:pt idx="2">
                  <c:v>TTW-truck</c:v>
                </c:pt>
                <c:pt idx="3">
                  <c:v>WTT-truck</c:v>
                </c:pt>
              </c:strCache>
            </c:strRef>
          </c:cat>
          <c:val>
            <c:numRef>
              <c:f>Q1TransportationFP!$AE$90:$AH$90</c:f>
              <c:numCache>
                <c:formatCode>General</c:formatCode>
                <c:ptCount val="4"/>
                <c:pt idx="0">
                  <c:v>49830.0</c:v>
                </c:pt>
                <c:pt idx="1">
                  <c:v>9491.0</c:v>
                </c:pt>
                <c:pt idx="2">
                  <c:v>84.0</c:v>
                </c:pt>
                <c:pt idx="3">
                  <c:v>17.0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32221648"/>
        <c:axId val="1276935520"/>
      </c:barChart>
      <c:catAx>
        <c:axId val="1232221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76935520"/>
        <c:crosses val="autoZero"/>
        <c:auto val="0"/>
        <c:lblAlgn val="ctr"/>
        <c:lblOffset val="100"/>
        <c:noMultiLvlLbl val="0"/>
      </c:catAx>
      <c:valAx>
        <c:axId val="1276935520"/>
        <c:scaling>
          <c:orientation val="minMax"/>
          <c:max val="5000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32221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Seaship-kilogram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Q1TransportationFP!$AD$95</c:f>
              <c:strCache>
                <c:ptCount val="1"/>
                <c:pt idx="0">
                  <c:v>Nitrogen oxides</c:v>
                </c:pt>
              </c:strCache>
            </c:strRef>
          </c:tx>
          <c:spPr>
            <a:solidFill>
              <a:schemeClr val="accent6">
                <a:shade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Q1TransportationFP!$AE$93:$AH$94</c:f>
              <c:strCache>
                <c:ptCount val="4"/>
                <c:pt idx="0">
                  <c:v>TTW-seaship</c:v>
                </c:pt>
                <c:pt idx="1">
                  <c:v>WTT-seaship</c:v>
                </c:pt>
                <c:pt idx="2">
                  <c:v>TTW-truck</c:v>
                </c:pt>
                <c:pt idx="3">
                  <c:v>WTT-truck</c:v>
                </c:pt>
              </c:strCache>
            </c:strRef>
          </c:cat>
          <c:val>
            <c:numRef>
              <c:f>Q1TransportationFP!$AE$95:$AH$95</c:f>
              <c:numCache>
                <c:formatCode>General</c:formatCode>
                <c:ptCount val="4"/>
                <c:pt idx="0">
                  <c:v>1.8495</c:v>
                </c:pt>
                <c:pt idx="1">
                  <c:v>0.0489</c:v>
                </c:pt>
                <c:pt idx="2">
                  <c:v>0.0538</c:v>
                </c:pt>
                <c:pt idx="3">
                  <c:v>0.01</c:v>
                </c:pt>
              </c:numCache>
            </c:numRef>
          </c:val>
        </c:ser>
        <c:ser>
          <c:idx val="1"/>
          <c:order val="1"/>
          <c:tx>
            <c:strRef>
              <c:f>Q1TransportationFP!$AD$96</c:f>
              <c:strCache>
                <c:ptCount val="1"/>
                <c:pt idx="0">
                  <c:v>Non-methane hydrocarbon</c:v>
                </c:pt>
              </c:strCache>
            </c:strRef>
          </c:tx>
          <c:spPr>
            <a:solidFill>
              <a:schemeClr val="accent6">
                <a:shade val="86000"/>
              </a:schemeClr>
            </a:solidFill>
            <a:ln>
              <a:noFill/>
            </a:ln>
            <a:effectLst/>
          </c:spPr>
          <c:invertIfNegative val="0"/>
          <c:cat>
            <c:strRef>
              <c:f>Q1TransportationFP!$AE$93:$AH$94</c:f>
              <c:strCache>
                <c:ptCount val="4"/>
                <c:pt idx="0">
                  <c:v>TTW-seaship</c:v>
                </c:pt>
                <c:pt idx="1">
                  <c:v>WTT-seaship</c:v>
                </c:pt>
                <c:pt idx="2">
                  <c:v>TTW-truck</c:v>
                </c:pt>
                <c:pt idx="3">
                  <c:v>WTT-truck</c:v>
                </c:pt>
              </c:strCache>
            </c:strRef>
          </c:cat>
          <c:val>
            <c:numRef>
              <c:f>Q1TransportationFP!$AE$96:$AH$96</c:f>
              <c:numCache>
                <c:formatCode>General</c:formatCode>
                <c:ptCount val="4"/>
                <c:pt idx="0">
                  <c:v>0.06741</c:v>
                </c:pt>
                <c:pt idx="1">
                  <c:v>0.0408</c:v>
                </c:pt>
                <c:pt idx="2">
                  <c:v>0.00086</c:v>
                </c:pt>
                <c:pt idx="3">
                  <c:v>0.00635</c:v>
                </c:pt>
              </c:numCache>
            </c:numRef>
          </c:val>
        </c:ser>
        <c:ser>
          <c:idx val="2"/>
          <c:order val="2"/>
          <c:tx>
            <c:strRef>
              <c:f>Q1TransportationFP!$AD$97</c:f>
              <c:strCache>
                <c:ptCount val="1"/>
                <c:pt idx="0">
                  <c:v>Particulate matter</c:v>
                </c:pt>
              </c:strCache>
            </c:strRef>
          </c:tx>
          <c:spPr>
            <a:solidFill>
              <a:schemeClr val="accent6">
                <a:tint val="86000"/>
              </a:schemeClr>
            </a:solidFill>
            <a:ln>
              <a:noFill/>
            </a:ln>
            <a:effectLst/>
          </c:spPr>
          <c:invertIfNegative val="0"/>
          <c:cat>
            <c:strRef>
              <c:f>Q1TransportationFP!$AE$93:$AH$94</c:f>
              <c:strCache>
                <c:ptCount val="4"/>
                <c:pt idx="0">
                  <c:v>TTW-seaship</c:v>
                </c:pt>
                <c:pt idx="1">
                  <c:v>WTT-seaship</c:v>
                </c:pt>
                <c:pt idx="2">
                  <c:v>TTW-truck</c:v>
                </c:pt>
                <c:pt idx="3">
                  <c:v>WTT-truck</c:v>
                </c:pt>
              </c:strCache>
            </c:strRef>
          </c:cat>
          <c:val>
            <c:numRef>
              <c:f>Q1TransportationFP!$AE$97:$AH$97</c:f>
              <c:numCache>
                <c:formatCode>General</c:formatCode>
                <c:ptCount val="4"/>
                <c:pt idx="0">
                  <c:v>0.19543</c:v>
                </c:pt>
                <c:pt idx="1">
                  <c:v>0.02512</c:v>
                </c:pt>
                <c:pt idx="2">
                  <c:v>0.00089</c:v>
                </c:pt>
                <c:pt idx="3">
                  <c:v>0.00038</c:v>
                </c:pt>
              </c:numCache>
            </c:numRef>
          </c:val>
        </c:ser>
        <c:ser>
          <c:idx val="3"/>
          <c:order val="3"/>
          <c:tx>
            <c:strRef>
              <c:f>Q1TransportationFP!$AD$98</c:f>
              <c:strCache>
                <c:ptCount val="1"/>
                <c:pt idx="0">
                  <c:v>Sulfur dioxide</c:v>
                </c:pt>
              </c:strCache>
            </c:strRef>
          </c:tx>
          <c:spPr>
            <a:solidFill>
              <a:schemeClr val="accent6">
                <a:tint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Q1TransportationFP!$AE$93:$AH$94</c:f>
              <c:strCache>
                <c:ptCount val="4"/>
                <c:pt idx="0">
                  <c:v>TTW-seaship</c:v>
                </c:pt>
                <c:pt idx="1">
                  <c:v>WTT-seaship</c:v>
                </c:pt>
                <c:pt idx="2">
                  <c:v>TTW-truck</c:v>
                </c:pt>
                <c:pt idx="3">
                  <c:v>WTT-truck</c:v>
                </c:pt>
              </c:strCache>
            </c:strRef>
          </c:cat>
          <c:val>
            <c:numRef>
              <c:f>Q1TransportationFP!$AE$98:$AH$98</c:f>
              <c:numCache>
                <c:formatCode>General</c:formatCode>
                <c:ptCount val="4"/>
                <c:pt idx="0">
                  <c:v>1.52624</c:v>
                </c:pt>
                <c:pt idx="1">
                  <c:v>0.10972</c:v>
                </c:pt>
                <c:pt idx="2">
                  <c:v>0.00059</c:v>
                </c:pt>
                <c:pt idx="3">
                  <c:v>0.00793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21451104"/>
        <c:axId val="1282554816"/>
      </c:barChart>
      <c:catAx>
        <c:axId val="1521451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82554816"/>
        <c:crosses val="autoZero"/>
        <c:auto val="1"/>
        <c:lblAlgn val="ctr"/>
        <c:lblOffset val="100"/>
        <c:noMultiLvlLbl val="0"/>
      </c:catAx>
      <c:valAx>
        <c:axId val="1282554816"/>
        <c:scaling>
          <c:orientation val="minMax"/>
          <c:max val="4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21451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baseline="0">
                <a:effectLst/>
              </a:rPr>
              <a:t>Seaship</a:t>
            </a:r>
            <a:r>
              <a:rPr lang="en-US" altLang="zh-CN"/>
              <a:t>-Tonnes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stacked"/>
        <c:varyColors val="0"/>
        <c:ser>
          <c:idx val="3"/>
          <c:order val="0"/>
          <c:tx>
            <c:strRef>
              <c:f>Q1TransportationFP!$AD$100</c:f>
              <c:strCache>
                <c:ptCount val="1"/>
                <c:pt idx="0">
                  <c:v>CO2 emissions</c:v>
                </c:pt>
              </c:strCache>
            </c:strRef>
          </c:tx>
          <c:spPr>
            <a:solidFill>
              <a:schemeClr val="accent6">
                <a:tint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Q1TransportationFP!$AE$94:$AH$94</c:f>
              <c:strCache>
                <c:ptCount val="4"/>
                <c:pt idx="0">
                  <c:v>TTW-seaship</c:v>
                </c:pt>
                <c:pt idx="1">
                  <c:v>WTT-seaship</c:v>
                </c:pt>
                <c:pt idx="2">
                  <c:v>TTW-truck</c:v>
                </c:pt>
                <c:pt idx="3">
                  <c:v>WTT-truck</c:v>
                </c:pt>
              </c:strCache>
            </c:strRef>
          </c:cat>
          <c:val>
            <c:numRef>
              <c:f>Q1TransportationFP!$AE$100:$AH$100</c:f>
              <c:numCache>
                <c:formatCode>General</c:formatCode>
                <c:ptCount val="4"/>
                <c:pt idx="0">
                  <c:v>0.0976</c:v>
                </c:pt>
                <c:pt idx="1">
                  <c:v>0.0083</c:v>
                </c:pt>
                <c:pt idx="2">
                  <c:v>0.0186</c:v>
                </c:pt>
                <c:pt idx="3">
                  <c:v>0.0041</c:v>
                </c:pt>
              </c:numCache>
            </c:numRef>
          </c:val>
        </c:ser>
        <c:ser>
          <c:idx val="0"/>
          <c:order val="1"/>
          <c:tx>
            <c:strRef>
              <c:f>Q1TransportationFP!$AD$101</c:f>
              <c:strCache>
                <c:ptCount val="1"/>
                <c:pt idx="0">
                  <c:v>GHG emissions as CO2e</c:v>
                </c:pt>
              </c:strCache>
            </c:strRef>
          </c:tx>
          <c:spPr>
            <a:solidFill>
              <a:schemeClr val="accent6">
                <a:shade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Q1TransportationFP!$AE$94:$AH$94</c:f>
              <c:strCache>
                <c:ptCount val="4"/>
                <c:pt idx="0">
                  <c:v>TTW-seaship</c:v>
                </c:pt>
                <c:pt idx="1">
                  <c:v>WTT-seaship</c:v>
                </c:pt>
                <c:pt idx="2">
                  <c:v>TTW-truck</c:v>
                </c:pt>
                <c:pt idx="3">
                  <c:v>WTT-truck</c:v>
                </c:pt>
              </c:strCache>
            </c:strRef>
          </c:cat>
          <c:val>
            <c:numRef>
              <c:f>Q1TransportationFP!$AE$101:$AH$101</c:f>
              <c:numCache>
                <c:formatCode>General</c:formatCode>
                <c:ptCount val="4"/>
                <c:pt idx="0">
                  <c:v>0.0979</c:v>
                </c:pt>
                <c:pt idx="1">
                  <c:v>0.0083</c:v>
                </c:pt>
                <c:pt idx="2">
                  <c:v>0.019</c:v>
                </c:pt>
                <c:pt idx="3">
                  <c:v>0.0042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77846112"/>
        <c:axId val="1519074128"/>
      </c:barChart>
      <c:catAx>
        <c:axId val="127784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19074128"/>
        <c:crosses val="autoZero"/>
        <c:auto val="0"/>
        <c:lblAlgn val="ctr"/>
        <c:lblOffset val="100"/>
        <c:noMultiLvlLbl val="0"/>
      </c:catAx>
      <c:valAx>
        <c:axId val="1519074128"/>
        <c:scaling>
          <c:orientation val="minMax"/>
          <c:max val="0.2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77846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baseline="0">
                <a:effectLst/>
              </a:rPr>
              <a:t>Seaship</a:t>
            </a:r>
            <a:r>
              <a:rPr lang="en-US" altLang="zh-CN"/>
              <a:t>-Kilowatthours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stacked"/>
        <c:varyColors val="0"/>
        <c:ser>
          <c:idx val="3"/>
          <c:order val="0"/>
          <c:tx>
            <c:strRef>
              <c:f>Q1TransportationFP!$AD$99</c:f>
              <c:strCache>
                <c:ptCount val="1"/>
                <c:pt idx="0">
                  <c:v>Energy consumption</c:v>
                </c:pt>
              </c:strCache>
            </c:strRef>
          </c:tx>
          <c:spPr>
            <a:solidFill>
              <a:schemeClr val="accent6">
                <a:tint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Q1TransportationFP!$AE$94:$AH$94</c:f>
              <c:strCache>
                <c:ptCount val="4"/>
                <c:pt idx="0">
                  <c:v>TTW-seaship</c:v>
                </c:pt>
                <c:pt idx="1">
                  <c:v>WTT-seaship</c:v>
                </c:pt>
                <c:pt idx="2">
                  <c:v>TTW-truck</c:v>
                </c:pt>
                <c:pt idx="3">
                  <c:v>WTT-truck</c:v>
                </c:pt>
              </c:strCache>
            </c:strRef>
          </c:cat>
          <c:val>
            <c:numRef>
              <c:f>Q1TransportationFP!$AE$99:$AH$99</c:f>
              <c:numCache>
                <c:formatCode>General</c:formatCode>
                <c:ptCount val="4"/>
                <c:pt idx="0">
                  <c:v>350.0</c:v>
                </c:pt>
                <c:pt idx="1">
                  <c:v>31.0</c:v>
                </c:pt>
                <c:pt idx="2">
                  <c:v>71.0</c:v>
                </c:pt>
                <c:pt idx="3">
                  <c:v>14.0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77908304"/>
        <c:axId val="1275365360"/>
      </c:barChart>
      <c:catAx>
        <c:axId val="127790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75365360"/>
        <c:crosses val="autoZero"/>
        <c:auto val="0"/>
        <c:lblAlgn val="ctr"/>
        <c:lblOffset val="100"/>
        <c:noMultiLvlLbl val="0"/>
      </c:catAx>
      <c:valAx>
        <c:axId val="1275365360"/>
        <c:scaling>
          <c:orientation val="minMax"/>
          <c:max val="350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7790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baseline="0">
                <a:effectLst/>
              </a:rPr>
              <a:t>GHG emissions as CO2e</a:t>
            </a:r>
            <a:r>
              <a:rPr lang="en-US" altLang="zh-CN" sz="1400" b="0" i="0" u="none" strike="noStrike" baseline="0"/>
              <a:t> </a:t>
            </a:r>
            <a:endParaRPr lang="zh-CN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Q1TransportationFP!$AA$20:$AB$25</c:f>
              <c:multiLvlStrCache>
                <c:ptCount val="6"/>
                <c:lvl>
                  <c:pt idx="0">
                    <c:v>Airplane</c:v>
                  </c:pt>
                  <c:pt idx="1">
                    <c:v>Truck</c:v>
                  </c:pt>
                  <c:pt idx="2">
                    <c:v>Sea ship</c:v>
                  </c:pt>
                  <c:pt idx="3">
                    <c:v>Truck</c:v>
                  </c:pt>
                  <c:pt idx="4">
                    <c:v>NA</c:v>
                  </c:pt>
                  <c:pt idx="5">
                    <c:v>NA</c:v>
                  </c:pt>
                </c:lvl>
                <c:lvl>
                  <c:pt idx="0">
                    <c:v>Airplane</c:v>
                  </c:pt>
                  <c:pt idx="2">
                    <c:v>Sea ship</c:v>
                  </c:pt>
                  <c:pt idx="4">
                    <c:v>Train</c:v>
                  </c:pt>
                  <c:pt idx="5">
                    <c:v>Truck</c:v>
                  </c:pt>
                </c:lvl>
              </c:multiLvlStrCache>
            </c:multiLvlStrRef>
          </c:cat>
          <c:val>
            <c:numRef>
              <c:f>Q1TransportationFP!$AC$20:$AC$25</c:f>
              <c:numCache>
                <c:formatCode>General</c:formatCode>
                <c:ptCount val="6"/>
                <c:pt idx="0">
                  <c:v>12.9338</c:v>
                </c:pt>
                <c:pt idx="1">
                  <c:v>0.0224</c:v>
                </c:pt>
                <c:pt idx="2">
                  <c:v>0.0979</c:v>
                </c:pt>
                <c:pt idx="3">
                  <c:v>0.019</c:v>
                </c:pt>
                <c:pt idx="4">
                  <c:v>0.081</c:v>
                </c:pt>
                <c:pt idx="5">
                  <c:v>1.35</c:v>
                </c:pt>
              </c:numCache>
            </c:numRef>
          </c:val>
        </c:ser>
        <c:ser>
          <c:idx val="1"/>
          <c:order val="1"/>
          <c:spPr>
            <a:solidFill>
              <a:schemeClr val="accent6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Q1TransportationFP!$AA$20:$AB$25</c:f>
              <c:multiLvlStrCache>
                <c:ptCount val="6"/>
                <c:lvl>
                  <c:pt idx="0">
                    <c:v>Airplane</c:v>
                  </c:pt>
                  <c:pt idx="1">
                    <c:v>Truck</c:v>
                  </c:pt>
                  <c:pt idx="2">
                    <c:v>Sea ship</c:v>
                  </c:pt>
                  <c:pt idx="3">
                    <c:v>Truck</c:v>
                  </c:pt>
                  <c:pt idx="4">
                    <c:v>NA</c:v>
                  </c:pt>
                  <c:pt idx="5">
                    <c:v>NA</c:v>
                  </c:pt>
                </c:lvl>
                <c:lvl>
                  <c:pt idx="0">
                    <c:v>Airplane</c:v>
                  </c:pt>
                  <c:pt idx="2">
                    <c:v>Sea ship</c:v>
                  </c:pt>
                  <c:pt idx="4">
                    <c:v>Train</c:v>
                  </c:pt>
                  <c:pt idx="5">
                    <c:v>Truck</c:v>
                  </c:pt>
                </c:lvl>
              </c:multiLvlStrCache>
            </c:multiLvlStrRef>
          </c:cat>
          <c:val>
            <c:numRef>
              <c:f>Q1TransportationFP!$AD$20:$AD$25</c:f>
              <c:numCache>
                <c:formatCode>General</c:formatCode>
                <c:ptCount val="6"/>
                <c:pt idx="0">
                  <c:v>2.8523</c:v>
                </c:pt>
                <c:pt idx="1">
                  <c:v>0.005</c:v>
                </c:pt>
                <c:pt idx="2">
                  <c:v>0.0083</c:v>
                </c:pt>
                <c:pt idx="3">
                  <c:v>0.0042</c:v>
                </c:pt>
                <c:pt idx="4">
                  <c:v>0.757</c:v>
                </c:pt>
                <c:pt idx="5">
                  <c:v>0.3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5405664"/>
        <c:axId val="1304240544"/>
      </c:barChart>
      <c:catAx>
        <c:axId val="1225405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04240544"/>
        <c:crosses val="autoZero"/>
        <c:auto val="1"/>
        <c:lblAlgn val="ctr"/>
        <c:lblOffset val="100"/>
        <c:noMultiLvlLbl val="0"/>
      </c:catAx>
      <c:valAx>
        <c:axId val="1304240544"/>
        <c:scaling>
          <c:orientation val="minMax"/>
          <c:max val="16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25405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baseline="0">
                <a:effectLst/>
              </a:rPr>
              <a:t>CO2 emissions</a:t>
            </a:r>
            <a:r>
              <a:rPr lang="en-US" altLang="zh-CN" sz="1400" b="0" i="0" u="none" strike="noStrike" baseline="0"/>
              <a:t> </a:t>
            </a:r>
            <a:endParaRPr lang="zh-CN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Q1TransportationFP!$AA$28:$AB$33</c:f>
              <c:multiLvlStrCache>
                <c:ptCount val="6"/>
                <c:lvl>
                  <c:pt idx="0">
                    <c:v>Airplane</c:v>
                  </c:pt>
                  <c:pt idx="1">
                    <c:v>Truck</c:v>
                  </c:pt>
                  <c:pt idx="2">
                    <c:v>Sea ship</c:v>
                  </c:pt>
                  <c:pt idx="3">
                    <c:v>Truck</c:v>
                  </c:pt>
                  <c:pt idx="4">
                    <c:v>NA</c:v>
                  </c:pt>
                  <c:pt idx="5">
                    <c:v>NA</c:v>
                  </c:pt>
                </c:lvl>
                <c:lvl>
                  <c:pt idx="0">
                    <c:v>Airplane</c:v>
                  </c:pt>
                  <c:pt idx="2">
                    <c:v>Sea ship</c:v>
                  </c:pt>
                  <c:pt idx="4">
                    <c:v>Train</c:v>
                  </c:pt>
                  <c:pt idx="5">
                    <c:v>Truck</c:v>
                  </c:pt>
                </c:lvl>
              </c:multiLvlStrCache>
            </c:multiLvlStrRef>
          </c:cat>
          <c:val>
            <c:numRef>
              <c:f>Q1TransportationFP!$AC$28:$AC$33</c:f>
              <c:numCache>
                <c:formatCode>General</c:formatCode>
                <c:ptCount val="6"/>
                <c:pt idx="0">
                  <c:v>12.8262</c:v>
                </c:pt>
                <c:pt idx="1">
                  <c:v>0.0221</c:v>
                </c:pt>
                <c:pt idx="2">
                  <c:v>0.0976</c:v>
                </c:pt>
                <c:pt idx="3">
                  <c:v>0.0186</c:v>
                </c:pt>
                <c:pt idx="4">
                  <c:v>0.08</c:v>
                </c:pt>
                <c:pt idx="5">
                  <c:v>1.33</c:v>
                </c:pt>
              </c:numCache>
            </c:numRef>
          </c:val>
        </c:ser>
        <c:ser>
          <c:idx val="1"/>
          <c:order val="1"/>
          <c:spPr>
            <a:solidFill>
              <a:schemeClr val="accent6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Q1TransportationFP!$AA$28:$AB$33</c:f>
              <c:multiLvlStrCache>
                <c:ptCount val="6"/>
                <c:lvl>
                  <c:pt idx="0">
                    <c:v>Airplane</c:v>
                  </c:pt>
                  <c:pt idx="1">
                    <c:v>Truck</c:v>
                  </c:pt>
                  <c:pt idx="2">
                    <c:v>Sea ship</c:v>
                  </c:pt>
                  <c:pt idx="3">
                    <c:v>Truck</c:v>
                  </c:pt>
                  <c:pt idx="4">
                    <c:v>NA</c:v>
                  </c:pt>
                  <c:pt idx="5">
                    <c:v>NA</c:v>
                  </c:pt>
                </c:lvl>
                <c:lvl>
                  <c:pt idx="0">
                    <c:v>Airplane</c:v>
                  </c:pt>
                  <c:pt idx="2">
                    <c:v>Sea ship</c:v>
                  </c:pt>
                  <c:pt idx="4">
                    <c:v>Train</c:v>
                  </c:pt>
                  <c:pt idx="5">
                    <c:v>Truck</c:v>
                  </c:pt>
                </c:lvl>
              </c:multiLvlStrCache>
            </c:multiLvlStrRef>
          </c:cat>
          <c:val>
            <c:numRef>
              <c:f>Q1TransportationFP!$AD$28:$AD$33</c:f>
              <c:numCache>
                <c:formatCode>General</c:formatCode>
                <c:ptCount val="6"/>
                <c:pt idx="0">
                  <c:v>2.8343</c:v>
                </c:pt>
                <c:pt idx="1">
                  <c:v>0.0048</c:v>
                </c:pt>
                <c:pt idx="2">
                  <c:v>0.0083</c:v>
                </c:pt>
                <c:pt idx="3">
                  <c:v>0.0041</c:v>
                </c:pt>
                <c:pt idx="4">
                  <c:v>0.698</c:v>
                </c:pt>
                <c:pt idx="5">
                  <c:v>0.29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05791312"/>
        <c:axId val="1283415008"/>
      </c:barChart>
      <c:catAx>
        <c:axId val="1305791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83415008"/>
        <c:crosses val="autoZero"/>
        <c:auto val="1"/>
        <c:lblAlgn val="ctr"/>
        <c:lblOffset val="100"/>
        <c:noMultiLvlLbl val="0"/>
      </c:catAx>
      <c:valAx>
        <c:axId val="1283415008"/>
        <c:scaling>
          <c:orientation val="minMax"/>
          <c:max val="16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05791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baseline="0">
                <a:effectLst/>
              </a:rPr>
              <a:t>Nitrogen oxides</a:t>
            </a:r>
            <a:r>
              <a:rPr lang="en-US" altLang="zh-CN" sz="1400" b="0" i="0" u="none" strike="noStrike" baseline="0"/>
              <a:t> </a:t>
            </a:r>
            <a:endParaRPr lang="zh-CN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Q1TransportationFP!$AA$36:$AB$41</c:f>
              <c:multiLvlStrCache>
                <c:ptCount val="6"/>
                <c:lvl>
                  <c:pt idx="0">
                    <c:v>Airplane</c:v>
                  </c:pt>
                  <c:pt idx="1">
                    <c:v>Truck</c:v>
                  </c:pt>
                  <c:pt idx="2">
                    <c:v>Sea ship</c:v>
                  </c:pt>
                  <c:pt idx="3">
                    <c:v>Truck</c:v>
                  </c:pt>
                  <c:pt idx="4">
                    <c:v>NA</c:v>
                  </c:pt>
                  <c:pt idx="5">
                    <c:v>NA</c:v>
                  </c:pt>
                </c:lvl>
                <c:lvl>
                  <c:pt idx="0">
                    <c:v>Airplane</c:v>
                  </c:pt>
                  <c:pt idx="2">
                    <c:v>Sea ship</c:v>
                  </c:pt>
                  <c:pt idx="4">
                    <c:v>Train</c:v>
                  </c:pt>
                  <c:pt idx="5">
                    <c:v>Truck</c:v>
                  </c:pt>
                </c:lvl>
              </c:multiLvlStrCache>
            </c:multiLvlStrRef>
          </c:cat>
          <c:val>
            <c:numRef>
              <c:f>Q1TransportationFP!$AC$36:$AC$41</c:f>
              <c:numCache>
                <c:formatCode>General</c:formatCode>
                <c:ptCount val="6"/>
                <c:pt idx="0">
                  <c:v>48.404</c:v>
                </c:pt>
                <c:pt idx="1">
                  <c:v>0.062</c:v>
                </c:pt>
                <c:pt idx="2">
                  <c:v>1.8495</c:v>
                </c:pt>
                <c:pt idx="3">
                  <c:v>0.0538</c:v>
                </c:pt>
                <c:pt idx="4">
                  <c:v>1.16</c:v>
                </c:pt>
                <c:pt idx="5">
                  <c:v>11.23</c:v>
                </c:pt>
              </c:numCache>
            </c:numRef>
          </c:val>
        </c:ser>
        <c:ser>
          <c:idx val="1"/>
          <c:order val="1"/>
          <c:spPr>
            <a:solidFill>
              <a:schemeClr val="accent6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Q1TransportationFP!$AA$36:$AB$41</c:f>
              <c:multiLvlStrCache>
                <c:ptCount val="6"/>
                <c:lvl>
                  <c:pt idx="0">
                    <c:v>Airplane</c:v>
                  </c:pt>
                  <c:pt idx="1">
                    <c:v>Truck</c:v>
                  </c:pt>
                  <c:pt idx="2">
                    <c:v>Sea ship</c:v>
                  </c:pt>
                  <c:pt idx="3">
                    <c:v>Truck</c:v>
                  </c:pt>
                  <c:pt idx="4">
                    <c:v>NA</c:v>
                  </c:pt>
                  <c:pt idx="5">
                    <c:v>NA</c:v>
                  </c:pt>
                </c:lvl>
                <c:lvl>
                  <c:pt idx="0">
                    <c:v>Airplane</c:v>
                  </c:pt>
                  <c:pt idx="2">
                    <c:v>Sea ship</c:v>
                  </c:pt>
                  <c:pt idx="4">
                    <c:v>Train</c:v>
                  </c:pt>
                  <c:pt idx="5">
                    <c:v>Truck</c:v>
                  </c:pt>
                </c:lvl>
              </c:multiLvlStrCache>
            </c:multiLvlStrRef>
          </c:cat>
          <c:val>
            <c:numRef>
              <c:f>Q1TransportationFP!$AD$36:$AD$41</c:f>
              <c:numCache>
                <c:formatCode>General</c:formatCode>
                <c:ptCount val="6"/>
                <c:pt idx="0">
                  <c:v>6.896</c:v>
                </c:pt>
                <c:pt idx="1">
                  <c:v>0.012</c:v>
                </c:pt>
                <c:pt idx="2">
                  <c:v>0.0489</c:v>
                </c:pt>
                <c:pt idx="3">
                  <c:v>0.01</c:v>
                </c:pt>
                <c:pt idx="4">
                  <c:v>1.98</c:v>
                </c:pt>
                <c:pt idx="5">
                  <c:v>0.71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19784448"/>
        <c:axId val="1520160512"/>
      </c:barChart>
      <c:catAx>
        <c:axId val="151978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20160512"/>
        <c:crosses val="autoZero"/>
        <c:auto val="1"/>
        <c:lblAlgn val="ctr"/>
        <c:lblOffset val="100"/>
        <c:noMultiLvlLbl val="0"/>
      </c:catAx>
      <c:valAx>
        <c:axId val="1520160512"/>
        <c:scaling>
          <c:orientation val="minMax"/>
          <c:max val="56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1978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baseline="0">
                <a:effectLst/>
              </a:rPr>
              <a:t>Non-methane hydrocarbon</a:t>
            </a:r>
            <a:r>
              <a:rPr lang="en-US" altLang="zh-CN" sz="1400" b="0" i="0" u="none" strike="noStrike" baseline="0"/>
              <a:t> </a:t>
            </a:r>
            <a:endParaRPr lang="zh-CN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Q1TransportationFP!$AA$44:$AB$49</c:f>
              <c:multiLvlStrCache>
                <c:ptCount val="6"/>
                <c:lvl>
                  <c:pt idx="0">
                    <c:v>Airplane</c:v>
                  </c:pt>
                  <c:pt idx="1">
                    <c:v>Truck</c:v>
                  </c:pt>
                  <c:pt idx="2">
                    <c:v>Sea ship</c:v>
                  </c:pt>
                  <c:pt idx="3">
                    <c:v>Truck</c:v>
                  </c:pt>
                  <c:pt idx="4">
                    <c:v>NA</c:v>
                  </c:pt>
                  <c:pt idx="5">
                    <c:v>NA</c:v>
                  </c:pt>
                </c:lvl>
                <c:lvl>
                  <c:pt idx="0">
                    <c:v>Airplane</c:v>
                  </c:pt>
                  <c:pt idx="2">
                    <c:v>Sea ship</c:v>
                  </c:pt>
                  <c:pt idx="4">
                    <c:v>Train</c:v>
                  </c:pt>
                  <c:pt idx="5">
                    <c:v>Truck</c:v>
                  </c:pt>
                </c:lvl>
              </c:multiLvlStrCache>
            </c:multiLvlStrRef>
          </c:cat>
          <c:val>
            <c:numRef>
              <c:f>Q1TransportationFP!$AC$44:$AC$49</c:f>
              <c:numCache>
                <c:formatCode>General</c:formatCode>
                <c:ptCount val="6"/>
                <c:pt idx="0">
                  <c:v>1.986</c:v>
                </c:pt>
                <c:pt idx="1">
                  <c:v>0.001</c:v>
                </c:pt>
                <c:pt idx="2">
                  <c:v>0.06741</c:v>
                </c:pt>
                <c:pt idx="3">
                  <c:v>0.00086</c:v>
                </c:pt>
                <c:pt idx="4">
                  <c:v>0.053</c:v>
                </c:pt>
                <c:pt idx="5">
                  <c:v>0.4</c:v>
                </c:pt>
              </c:numCache>
            </c:numRef>
          </c:val>
        </c:ser>
        <c:ser>
          <c:idx val="1"/>
          <c:order val="1"/>
          <c:spPr>
            <a:solidFill>
              <a:schemeClr val="accent6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Q1TransportationFP!$AA$44:$AB$49</c:f>
              <c:multiLvlStrCache>
                <c:ptCount val="6"/>
                <c:lvl>
                  <c:pt idx="0">
                    <c:v>Airplane</c:v>
                  </c:pt>
                  <c:pt idx="1">
                    <c:v>Truck</c:v>
                  </c:pt>
                  <c:pt idx="2">
                    <c:v>Sea ship</c:v>
                  </c:pt>
                  <c:pt idx="3">
                    <c:v>Truck</c:v>
                  </c:pt>
                  <c:pt idx="4">
                    <c:v>NA</c:v>
                  </c:pt>
                  <c:pt idx="5">
                    <c:v>NA</c:v>
                  </c:pt>
                </c:lvl>
                <c:lvl>
                  <c:pt idx="0">
                    <c:v>Airplane</c:v>
                  </c:pt>
                  <c:pt idx="2">
                    <c:v>Sea ship</c:v>
                  </c:pt>
                  <c:pt idx="4">
                    <c:v>Train</c:v>
                  </c:pt>
                  <c:pt idx="5">
                    <c:v>Truck</c:v>
                  </c:pt>
                </c:lvl>
              </c:multiLvlStrCache>
            </c:multiLvlStrRef>
          </c:cat>
          <c:val>
            <c:numRef>
              <c:f>Q1TransportationFP!$AD$44:$AD$49</c:f>
              <c:numCache>
                <c:formatCode>General</c:formatCode>
                <c:ptCount val="6"/>
                <c:pt idx="0">
                  <c:v>4.4648</c:v>
                </c:pt>
                <c:pt idx="1">
                  <c:v>0.0075</c:v>
                </c:pt>
                <c:pt idx="2">
                  <c:v>0.0408</c:v>
                </c:pt>
                <c:pt idx="3">
                  <c:v>0.00635</c:v>
                </c:pt>
                <c:pt idx="4">
                  <c:v>0.051</c:v>
                </c:pt>
                <c:pt idx="5">
                  <c:v>0.45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17869744"/>
        <c:axId val="1280643472"/>
      </c:barChart>
      <c:catAx>
        <c:axId val="1317869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80643472"/>
        <c:crosses val="autoZero"/>
        <c:auto val="1"/>
        <c:lblAlgn val="ctr"/>
        <c:lblOffset val="100"/>
        <c:noMultiLvlLbl val="0"/>
      </c:catAx>
      <c:valAx>
        <c:axId val="1280643472"/>
        <c:scaling>
          <c:orientation val="minMax"/>
          <c:max val="7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17869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baseline="0">
                <a:effectLst/>
              </a:rPr>
              <a:t>Particulate matter</a:t>
            </a:r>
            <a:r>
              <a:rPr lang="en-US" altLang="zh-CN" sz="1400" b="0" i="0" u="none" strike="noStrike" baseline="0"/>
              <a:t> </a:t>
            </a:r>
            <a:endParaRPr lang="zh-CN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Q1TransportationFP!$AA$52:$AB$57</c:f>
              <c:multiLvlStrCache>
                <c:ptCount val="6"/>
                <c:lvl>
                  <c:pt idx="0">
                    <c:v>Airplane</c:v>
                  </c:pt>
                  <c:pt idx="1">
                    <c:v>Truck</c:v>
                  </c:pt>
                  <c:pt idx="2">
                    <c:v>Sea ship</c:v>
                  </c:pt>
                  <c:pt idx="3">
                    <c:v>Truck</c:v>
                  </c:pt>
                  <c:pt idx="4">
                    <c:v>NA</c:v>
                  </c:pt>
                  <c:pt idx="5">
                    <c:v>NA</c:v>
                  </c:pt>
                </c:lvl>
                <c:lvl>
                  <c:pt idx="0">
                    <c:v>Airplane</c:v>
                  </c:pt>
                  <c:pt idx="2">
                    <c:v>Sea ship</c:v>
                  </c:pt>
                  <c:pt idx="4">
                    <c:v>Train</c:v>
                  </c:pt>
                  <c:pt idx="5">
                    <c:v>Truck</c:v>
                  </c:pt>
                </c:lvl>
              </c:multiLvlStrCache>
            </c:multiLvlStrRef>
          </c:cat>
          <c:val>
            <c:numRef>
              <c:f>Q1TransportationFP!$AC$52:$AC$57</c:f>
              <c:numCache>
                <c:formatCode>General</c:formatCode>
                <c:ptCount val="6"/>
                <c:pt idx="0">
                  <c:v>0.40452</c:v>
                </c:pt>
                <c:pt idx="1">
                  <c:v>0.00104</c:v>
                </c:pt>
                <c:pt idx="2">
                  <c:v>0.19543</c:v>
                </c:pt>
                <c:pt idx="3">
                  <c:v>0.00089</c:v>
                </c:pt>
                <c:pt idx="4">
                  <c:v>0.013</c:v>
                </c:pt>
                <c:pt idx="5">
                  <c:v>0.238</c:v>
                </c:pt>
              </c:numCache>
            </c:numRef>
          </c:val>
        </c:ser>
        <c:ser>
          <c:idx val="1"/>
          <c:order val="1"/>
          <c:spPr>
            <a:solidFill>
              <a:schemeClr val="accent6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Q1TransportationFP!$AA$52:$AB$57</c:f>
              <c:multiLvlStrCache>
                <c:ptCount val="6"/>
                <c:lvl>
                  <c:pt idx="0">
                    <c:v>Airplane</c:v>
                  </c:pt>
                  <c:pt idx="1">
                    <c:v>Truck</c:v>
                  </c:pt>
                  <c:pt idx="2">
                    <c:v>Sea ship</c:v>
                  </c:pt>
                  <c:pt idx="3">
                    <c:v>Truck</c:v>
                  </c:pt>
                  <c:pt idx="4">
                    <c:v>NA</c:v>
                  </c:pt>
                  <c:pt idx="5">
                    <c:v>NA</c:v>
                  </c:pt>
                </c:lvl>
                <c:lvl>
                  <c:pt idx="0">
                    <c:v>Airplane</c:v>
                  </c:pt>
                  <c:pt idx="2">
                    <c:v>Sea ship</c:v>
                  </c:pt>
                  <c:pt idx="4">
                    <c:v>Train</c:v>
                  </c:pt>
                  <c:pt idx="5">
                    <c:v>Truck</c:v>
                  </c:pt>
                </c:lvl>
              </c:multiLvlStrCache>
            </c:multiLvlStrRef>
          </c:cat>
          <c:val>
            <c:numRef>
              <c:f>Q1TransportationFP!$AD$52:$AD$57</c:f>
              <c:numCache>
                <c:formatCode>General</c:formatCode>
                <c:ptCount val="6"/>
                <c:pt idx="0">
                  <c:v>0.2641</c:v>
                </c:pt>
                <c:pt idx="1">
                  <c:v>0.00045</c:v>
                </c:pt>
                <c:pt idx="2">
                  <c:v>0.02512</c:v>
                </c:pt>
                <c:pt idx="3">
                  <c:v>0.00038</c:v>
                </c:pt>
                <c:pt idx="4">
                  <c:v>0.28</c:v>
                </c:pt>
                <c:pt idx="5">
                  <c:v>0.028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75933024"/>
        <c:axId val="1276045520"/>
      </c:barChart>
      <c:catAx>
        <c:axId val="1275933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76045520"/>
        <c:crosses val="autoZero"/>
        <c:auto val="1"/>
        <c:lblAlgn val="ctr"/>
        <c:lblOffset val="100"/>
        <c:noMultiLvlLbl val="0"/>
      </c:catAx>
      <c:valAx>
        <c:axId val="1276045520"/>
        <c:scaling>
          <c:orientation val="minMax"/>
          <c:max val="0.7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75933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baseline="0">
                <a:effectLst/>
              </a:rPr>
              <a:t>Sulfur dioxide</a:t>
            </a:r>
            <a:r>
              <a:rPr lang="en-US" altLang="zh-CN" sz="1400" b="0" i="0" u="none" strike="noStrike" baseline="0"/>
              <a:t> </a:t>
            </a:r>
            <a:endParaRPr lang="zh-CN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Q1TransportationFP!$AA$60:$AB$65</c:f>
              <c:multiLvlStrCache>
                <c:ptCount val="6"/>
                <c:lvl>
                  <c:pt idx="0">
                    <c:v>Airplane</c:v>
                  </c:pt>
                  <c:pt idx="1">
                    <c:v>Truck</c:v>
                  </c:pt>
                  <c:pt idx="2">
                    <c:v>Sea ship</c:v>
                  </c:pt>
                  <c:pt idx="3">
                    <c:v>Truck</c:v>
                  </c:pt>
                  <c:pt idx="4">
                    <c:v>NA</c:v>
                  </c:pt>
                  <c:pt idx="5">
                    <c:v>NA</c:v>
                  </c:pt>
                </c:lvl>
                <c:lvl>
                  <c:pt idx="0">
                    <c:v>Airplane</c:v>
                  </c:pt>
                  <c:pt idx="2">
                    <c:v>Sea ship</c:v>
                  </c:pt>
                  <c:pt idx="4">
                    <c:v>Train</c:v>
                  </c:pt>
                  <c:pt idx="5">
                    <c:v>Truck</c:v>
                  </c:pt>
                </c:lvl>
              </c:multiLvlStrCache>
            </c:multiLvlStrRef>
          </c:cat>
          <c:val>
            <c:numRef>
              <c:f>Q1TransportationFP!$AC$60:$AC$65</c:f>
              <c:numCache>
                <c:formatCode>General</c:formatCode>
                <c:ptCount val="6"/>
                <c:pt idx="0">
                  <c:v>3.4169</c:v>
                </c:pt>
                <c:pt idx="1">
                  <c:v>0.0007</c:v>
                </c:pt>
                <c:pt idx="2">
                  <c:v>1.52624</c:v>
                </c:pt>
                <c:pt idx="3">
                  <c:v>0.00059</c:v>
                </c:pt>
                <c:pt idx="4">
                  <c:v>0.0025</c:v>
                </c:pt>
                <c:pt idx="5">
                  <c:v>0.076</c:v>
                </c:pt>
              </c:numCache>
            </c:numRef>
          </c:val>
        </c:ser>
        <c:ser>
          <c:idx val="1"/>
          <c:order val="1"/>
          <c:spPr>
            <a:solidFill>
              <a:schemeClr val="accent6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Q1TransportationFP!$AA$60:$AB$65</c:f>
              <c:multiLvlStrCache>
                <c:ptCount val="6"/>
                <c:lvl>
                  <c:pt idx="0">
                    <c:v>Airplane</c:v>
                  </c:pt>
                  <c:pt idx="1">
                    <c:v>Truck</c:v>
                  </c:pt>
                  <c:pt idx="2">
                    <c:v>Sea ship</c:v>
                  </c:pt>
                  <c:pt idx="3">
                    <c:v>Truck</c:v>
                  </c:pt>
                  <c:pt idx="4">
                    <c:v>NA</c:v>
                  </c:pt>
                  <c:pt idx="5">
                    <c:v>NA</c:v>
                  </c:pt>
                </c:lvl>
                <c:lvl>
                  <c:pt idx="0">
                    <c:v>Airplane</c:v>
                  </c:pt>
                  <c:pt idx="2">
                    <c:v>Sea ship</c:v>
                  </c:pt>
                  <c:pt idx="4">
                    <c:v>Train</c:v>
                  </c:pt>
                  <c:pt idx="5">
                    <c:v>Truck</c:v>
                  </c:pt>
                </c:lvl>
              </c:multiLvlStrCache>
            </c:multiLvlStrRef>
          </c:cat>
          <c:val>
            <c:numRef>
              <c:f>Q1TransportationFP!$AD$60:$AD$65</c:f>
              <c:numCache>
                <c:formatCode>General</c:formatCode>
                <c:ptCount val="6"/>
                <c:pt idx="0">
                  <c:v>5.5361</c:v>
                </c:pt>
                <c:pt idx="1">
                  <c:v>0.00938</c:v>
                </c:pt>
                <c:pt idx="2">
                  <c:v>0.10972</c:v>
                </c:pt>
                <c:pt idx="3">
                  <c:v>0.00793</c:v>
                </c:pt>
                <c:pt idx="4">
                  <c:v>1.72</c:v>
                </c:pt>
                <c:pt idx="5">
                  <c:v>0.565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82653536"/>
        <c:axId val="1305732080"/>
      </c:barChart>
      <c:catAx>
        <c:axId val="128265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05732080"/>
        <c:crosses val="autoZero"/>
        <c:auto val="1"/>
        <c:lblAlgn val="ctr"/>
        <c:lblOffset val="100"/>
        <c:noMultiLvlLbl val="0"/>
      </c:catAx>
      <c:valAx>
        <c:axId val="1305732080"/>
        <c:scaling>
          <c:orientation val="minMax"/>
          <c:max val="9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82653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4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5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6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7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8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9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10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11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12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13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14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15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16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17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18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19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20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21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11" Type="http://schemas.openxmlformats.org/officeDocument/2006/relationships/chart" Target="../charts/chart13.xml"/><Relationship Id="rId12" Type="http://schemas.openxmlformats.org/officeDocument/2006/relationships/chart" Target="../charts/chart14.xml"/><Relationship Id="rId13" Type="http://schemas.openxmlformats.org/officeDocument/2006/relationships/chart" Target="../charts/chart15.xml"/><Relationship Id="rId14" Type="http://schemas.openxmlformats.org/officeDocument/2006/relationships/chart" Target="../charts/chart16.xml"/><Relationship Id="rId15" Type="http://schemas.openxmlformats.org/officeDocument/2006/relationships/chart" Target="../charts/chart17.xml"/><Relationship Id="rId16" Type="http://schemas.openxmlformats.org/officeDocument/2006/relationships/chart" Target="../charts/chart18.xml"/><Relationship Id="rId17" Type="http://schemas.openxmlformats.org/officeDocument/2006/relationships/chart" Target="../charts/chart19.xml"/><Relationship Id="rId18" Type="http://schemas.openxmlformats.org/officeDocument/2006/relationships/chart" Target="../charts/chart20.xml"/><Relationship Id="rId19" Type="http://schemas.openxmlformats.org/officeDocument/2006/relationships/chart" Target="../charts/chart21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5" Type="http://schemas.openxmlformats.org/officeDocument/2006/relationships/chart" Target="../charts/chart7.xml"/><Relationship Id="rId6" Type="http://schemas.openxmlformats.org/officeDocument/2006/relationships/chart" Target="../charts/chart8.xml"/><Relationship Id="rId7" Type="http://schemas.openxmlformats.org/officeDocument/2006/relationships/chart" Target="../charts/chart9.xml"/><Relationship Id="rId8" Type="http://schemas.openxmlformats.org/officeDocument/2006/relationships/chart" Target="../charts/chart10.xml"/><Relationship Id="rId9" Type="http://schemas.openxmlformats.org/officeDocument/2006/relationships/chart" Target="../charts/chart11.xml"/><Relationship Id="rId10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1</xdr:col>
      <xdr:colOff>228600</xdr:colOff>
      <xdr:row>7</xdr:row>
      <xdr:rowOff>194325</xdr:rowOff>
    </xdr:to>
    <xdr:sp macro="" textlink="">
      <xdr:nvSpPr>
        <xdr:cNvPr id="2" name="圆角矩形 1"/>
        <xdr:cNvSpPr/>
      </xdr:nvSpPr>
      <xdr:spPr>
        <a:xfrm>
          <a:off x="1" y="0"/>
          <a:ext cx="3517899" cy="1616725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Student</a:t>
          </a:r>
          <a:r>
            <a:rPr lang="en-US" altLang="zh-CN" sz="1100" baseline="0"/>
            <a:t> Info:</a:t>
          </a:r>
        </a:p>
        <a:p>
          <a:r>
            <a:rPr lang="pl-PL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Name: Xiaofan     </a:t>
          </a:r>
        </a:p>
        <a:p>
          <a:r>
            <a:rPr lang="pl-PL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First name: Li      </a:t>
          </a:r>
        </a:p>
        <a:p>
          <a:r>
            <a:rPr lang="pl-PL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Student code: li0037              </a:t>
          </a:r>
        </a:p>
        <a:p>
          <a:pPr marL="0" marR="0" indent="0" defTabSz="914400" eaLnBrk="1" fontAlgn="ctr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Group members: Vlad Pascanu;</a:t>
          </a:r>
          <a:r>
            <a:rPr lang="pl-PL" altLang="zh-CN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l-PL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Lyubomir Agnostev;</a:t>
          </a:r>
          <a:r>
            <a:rPr lang="pl-PL" altLang="zh-CN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pPr marL="0" marR="0" indent="0" defTabSz="914400" eaLnBrk="1" fontAlgn="ctr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altLang="zh-CN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    </a:t>
          </a:r>
          <a:r>
            <a:rPr lang="pl-PL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Ruben Notebaart;</a:t>
          </a:r>
          <a:r>
            <a:rPr lang="pl-PL" altLang="zh-CN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l-PL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Jordan Halley;</a:t>
          </a:r>
        </a:p>
        <a:p>
          <a:r>
            <a:rPr lang="pl-PL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Lecturer: D.A.</a:t>
          </a:r>
          <a:r>
            <a:rPr lang="pl-PL" altLang="zh-CN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Broek</a:t>
          </a:r>
        </a:p>
        <a:p>
          <a:endParaRPr lang="pl-PL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32</xdr:row>
      <xdr:rowOff>0</xdr:rowOff>
    </xdr:from>
    <xdr:to>
      <xdr:col>5</xdr:col>
      <xdr:colOff>0</xdr:colOff>
      <xdr:row>49</xdr:row>
      <xdr:rowOff>25400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32</xdr:row>
      <xdr:rowOff>0</xdr:rowOff>
    </xdr:from>
    <xdr:to>
      <xdr:col>11</xdr:col>
      <xdr:colOff>190500</xdr:colOff>
      <xdr:row>49</xdr:row>
      <xdr:rowOff>25400</xdr:rowOff>
    </xdr:to>
    <xdr:graphicFrame macro="">
      <xdr:nvGraphicFramePr>
        <xdr:cNvPr id="4" name="图表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0</xdr:col>
      <xdr:colOff>1041400</xdr:colOff>
      <xdr:row>66</xdr:row>
      <xdr:rowOff>25400</xdr:rowOff>
    </xdr:from>
    <xdr:ext cx="215900" cy="190500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5" name="文本框 4"/>
            <xdr:cNvSpPr txBox="1"/>
          </xdr:nvSpPr>
          <xdr:spPr>
            <a:xfrm>
              <a:off x="1041400" y="13436600"/>
              <a:ext cx="215900" cy="190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zh-CN" altLang="en-US" sz="1100" i="1">
                        <a:latin typeface="Cambria Math" charset="0"/>
                        <a:ea typeface="Cambria Math" charset="0"/>
                        <a:cs typeface="Cambria Math" charset="0"/>
                      </a:rPr>
                      <m:t>≈</m:t>
                    </m:r>
                  </m:oMath>
                </m:oMathPara>
              </a14:m>
              <a:endParaRPr lang="zh-CN" altLang="en-US" sz="1100"/>
            </a:p>
          </xdr:txBody>
        </xdr:sp>
      </mc:Choice>
      <mc:Fallback>
        <xdr:sp macro="" textlink="">
          <xdr:nvSpPr>
            <xdr:cNvPr id="5" name="文本框 4"/>
            <xdr:cNvSpPr txBox="1"/>
          </xdr:nvSpPr>
          <xdr:spPr>
            <a:xfrm>
              <a:off x="1041400" y="13436600"/>
              <a:ext cx="215900" cy="190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zh-CN" altLang="en-US" sz="1100" i="0">
                  <a:latin typeface="Cambria Math" charset="0"/>
                  <a:ea typeface="Cambria Math" charset="0"/>
                  <a:cs typeface="Cambria Math" charset="0"/>
                </a:rPr>
                <a:t>≈</a:t>
              </a:r>
              <a:endParaRPr lang="zh-CN" altLang="en-US" sz="1100"/>
            </a:p>
          </xdr:txBody>
        </xdr:sp>
      </mc:Fallback>
    </mc:AlternateContent>
    <xdr:clientData/>
  </xdr:oneCellAnchor>
  <xdr:oneCellAnchor>
    <xdr:from>
      <xdr:col>0</xdr:col>
      <xdr:colOff>1498600</xdr:colOff>
      <xdr:row>69</xdr:row>
      <xdr:rowOff>0</xdr:rowOff>
    </xdr:from>
    <xdr:ext cx="215900" cy="190500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6" name="文本框 5"/>
            <xdr:cNvSpPr txBox="1"/>
          </xdr:nvSpPr>
          <xdr:spPr>
            <a:xfrm>
              <a:off x="1498600" y="14020800"/>
              <a:ext cx="215900" cy="190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zh-CN" altLang="en-US" sz="1100" i="1">
                        <a:latin typeface="Cambria Math" charset="0"/>
                        <a:ea typeface="Cambria Math" charset="0"/>
                        <a:cs typeface="Cambria Math" charset="0"/>
                      </a:rPr>
                      <m:t>≈</m:t>
                    </m:r>
                  </m:oMath>
                </m:oMathPara>
              </a14:m>
              <a:endParaRPr lang="zh-CN" altLang="en-US" sz="1100"/>
            </a:p>
          </xdr:txBody>
        </xdr:sp>
      </mc:Choice>
      <mc:Fallback>
        <xdr:sp macro="" textlink="">
          <xdr:nvSpPr>
            <xdr:cNvPr id="6" name="文本框 5"/>
            <xdr:cNvSpPr txBox="1"/>
          </xdr:nvSpPr>
          <xdr:spPr>
            <a:xfrm>
              <a:off x="1498600" y="14020800"/>
              <a:ext cx="215900" cy="190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zh-CN" altLang="en-US" sz="1100" i="0">
                  <a:latin typeface="Cambria Math" charset="0"/>
                  <a:ea typeface="Cambria Math" charset="0"/>
                  <a:cs typeface="Cambria Math" charset="0"/>
                </a:rPr>
                <a:t>≈</a:t>
              </a:r>
              <a:endParaRPr lang="zh-CN" altLang="en-US" sz="11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4569</xdr:colOff>
      <xdr:row>0</xdr:row>
      <xdr:rowOff>196315</xdr:rowOff>
    </xdr:from>
    <xdr:to>
      <xdr:col>12</xdr:col>
      <xdr:colOff>1820844</xdr:colOff>
      <xdr:row>9</xdr:row>
      <xdr:rowOff>22799</xdr:rowOff>
    </xdr:to>
    <xdr:sp macro="" textlink="">
      <xdr:nvSpPr>
        <xdr:cNvPr id="2" name="圆角矩形 1"/>
        <xdr:cNvSpPr/>
      </xdr:nvSpPr>
      <xdr:spPr>
        <a:xfrm>
          <a:off x="2207942" y="196315"/>
          <a:ext cx="3438203" cy="1616725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Student</a:t>
          </a:r>
          <a:r>
            <a:rPr lang="en-US" altLang="zh-CN" sz="1100" baseline="0"/>
            <a:t> Info:</a:t>
          </a:r>
        </a:p>
        <a:p>
          <a:r>
            <a:rPr lang="pl-PL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Name: Xiaofan     </a:t>
          </a:r>
        </a:p>
        <a:p>
          <a:r>
            <a:rPr lang="pl-PL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First name: Li      </a:t>
          </a:r>
        </a:p>
        <a:p>
          <a:r>
            <a:rPr lang="pl-PL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Student code: li0037              </a:t>
          </a:r>
        </a:p>
        <a:p>
          <a:pPr marL="0" marR="0" indent="0" defTabSz="914400" eaLnBrk="1" fontAlgn="ctr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Group members: Vlad Pascanu;</a:t>
          </a:r>
          <a:r>
            <a:rPr lang="pl-PL" altLang="zh-CN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l-PL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Lyubomir Agnostev;</a:t>
          </a:r>
          <a:r>
            <a:rPr lang="pl-PL" altLang="zh-CN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pPr marL="0" marR="0" indent="0" defTabSz="914400" eaLnBrk="1" fontAlgn="ctr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altLang="zh-CN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    </a:t>
          </a:r>
          <a:r>
            <a:rPr lang="pl-PL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Ruben Notebaart;</a:t>
          </a:r>
          <a:r>
            <a:rPr lang="pl-PL" altLang="zh-CN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l-PL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Jordan Halley;</a:t>
          </a:r>
        </a:p>
        <a:p>
          <a:r>
            <a:rPr lang="pl-PL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Lecturer: D.A.</a:t>
          </a:r>
          <a:r>
            <a:rPr lang="pl-PL" altLang="zh-CN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Broek</a:t>
          </a:r>
        </a:p>
        <a:p>
          <a:endParaRPr lang="pl-PL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1925162</xdr:colOff>
      <xdr:row>0</xdr:row>
      <xdr:rowOff>196315</xdr:rowOff>
    </xdr:from>
    <xdr:to>
      <xdr:col>14</xdr:col>
      <xdr:colOff>1773943</xdr:colOff>
      <xdr:row>9</xdr:row>
      <xdr:rowOff>22799</xdr:rowOff>
    </xdr:to>
    <xdr:sp macro="" textlink="">
      <xdr:nvSpPr>
        <xdr:cNvPr id="3" name="圆角矩形 2"/>
        <xdr:cNvSpPr/>
      </xdr:nvSpPr>
      <xdr:spPr>
        <a:xfrm>
          <a:off x="5750463" y="196315"/>
          <a:ext cx="2602998" cy="1616725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Calculation Parameter:</a:t>
          </a:r>
        </a:p>
        <a:p>
          <a:pPr algn="l"/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Origin:</a:t>
          </a:r>
          <a:r>
            <a:rPr lang="en-US" altLang="zh-CN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Shanghai, China</a:t>
          </a:r>
        </a:p>
        <a:p>
          <a:pPr algn="l"/>
          <a:r>
            <a:rPr lang="en-US" altLang="zh-CN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Destination: Dalian, China</a:t>
          </a:r>
        </a:p>
        <a:p>
          <a:pPr algn="l"/>
          <a:r>
            <a:rPr lang="en-US" altLang="zh-CN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Cargo Weight: 10 </a:t>
          </a:r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metric ton</a:t>
          </a:r>
        </a:p>
        <a:p>
          <a:pPr algn="l"/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t/TEU: 10 (by default)</a:t>
          </a:r>
        </a:p>
        <a:p>
          <a:pPr algn="l"/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Type:</a:t>
          </a:r>
          <a:r>
            <a:rPr lang="en-US" altLang="zh-CN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Average</a:t>
          </a:r>
        </a:p>
        <a:p>
          <a:pPr algn="l"/>
          <a:r>
            <a:rPr lang="en-US" altLang="zh-CN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Input mode standard</a:t>
          </a:r>
        </a:p>
      </xdr:txBody>
    </xdr:sp>
    <xdr:clientData/>
  </xdr:twoCellAnchor>
  <xdr:twoCellAnchor>
    <xdr:from>
      <xdr:col>11</xdr:col>
      <xdr:colOff>5113</xdr:colOff>
      <xdr:row>117</xdr:row>
      <xdr:rowOff>4737</xdr:rowOff>
    </xdr:from>
    <xdr:to>
      <xdr:col>14</xdr:col>
      <xdr:colOff>273534</xdr:colOff>
      <xdr:row>131</xdr:row>
      <xdr:rowOff>77368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2381</xdr:colOff>
      <xdr:row>57</xdr:row>
      <xdr:rowOff>4770</xdr:rowOff>
    </xdr:from>
    <xdr:to>
      <xdr:col>14</xdr:col>
      <xdr:colOff>288181</xdr:colOff>
      <xdr:row>71</xdr:row>
      <xdr:rowOff>39970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280376</xdr:colOff>
      <xdr:row>56</xdr:row>
      <xdr:rowOff>201690</xdr:rowOff>
    </xdr:from>
    <xdr:to>
      <xdr:col>17</xdr:col>
      <xdr:colOff>667776</xdr:colOff>
      <xdr:row>71</xdr:row>
      <xdr:rowOff>33690</xdr:rowOff>
    </xdr:to>
    <xdr:graphicFrame macro="">
      <xdr:nvGraphicFramePr>
        <xdr:cNvPr id="7" name="图表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666378</xdr:colOff>
      <xdr:row>57</xdr:row>
      <xdr:rowOff>1724</xdr:rowOff>
    </xdr:from>
    <xdr:to>
      <xdr:col>21</xdr:col>
      <xdr:colOff>723309</xdr:colOff>
      <xdr:row>71</xdr:row>
      <xdr:rowOff>59502</xdr:rowOff>
    </xdr:to>
    <xdr:graphicFrame macro="">
      <xdr:nvGraphicFramePr>
        <xdr:cNvPr id="8" name="图表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0</xdr:colOff>
      <xdr:row>71</xdr:row>
      <xdr:rowOff>39196</xdr:rowOff>
    </xdr:from>
    <xdr:to>
      <xdr:col>14</xdr:col>
      <xdr:colOff>285800</xdr:colOff>
      <xdr:row>85</xdr:row>
      <xdr:rowOff>74396</xdr:rowOff>
    </xdr:to>
    <xdr:graphicFrame macro="">
      <xdr:nvGraphicFramePr>
        <xdr:cNvPr id="9" name="图表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663997</xdr:colOff>
      <xdr:row>71</xdr:row>
      <xdr:rowOff>34445</xdr:rowOff>
    </xdr:from>
    <xdr:to>
      <xdr:col>21</xdr:col>
      <xdr:colOff>720928</xdr:colOff>
      <xdr:row>85</xdr:row>
      <xdr:rowOff>92223</xdr:rowOff>
    </xdr:to>
    <xdr:graphicFrame macro="">
      <xdr:nvGraphicFramePr>
        <xdr:cNvPr id="11" name="图表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280783</xdr:colOff>
      <xdr:row>71</xdr:row>
      <xdr:rowOff>34628</xdr:rowOff>
    </xdr:from>
    <xdr:to>
      <xdr:col>17</xdr:col>
      <xdr:colOff>668183</xdr:colOff>
      <xdr:row>85</xdr:row>
      <xdr:rowOff>69828</xdr:rowOff>
    </xdr:to>
    <xdr:graphicFrame macro="">
      <xdr:nvGraphicFramePr>
        <xdr:cNvPr id="10" name="图表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670718</xdr:colOff>
      <xdr:row>85</xdr:row>
      <xdr:rowOff>64597</xdr:rowOff>
    </xdr:from>
    <xdr:to>
      <xdr:col>21</xdr:col>
      <xdr:colOff>727918</xdr:colOff>
      <xdr:row>99</xdr:row>
      <xdr:rowOff>99797</xdr:rowOff>
    </xdr:to>
    <xdr:graphicFrame macro="">
      <xdr:nvGraphicFramePr>
        <xdr:cNvPr id="14" name="图表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0</xdr:colOff>
      <xdr:row>85</xdr:row>
      <xdr:rowOff>72137</xdr:rowOff>
    </xdr:from>
    <xdr:to>
      <xdr:col>14</xdr:col>
      <xdr:colOff>298500</xdr:colOff>
      <xdr:row>99</xdr:row>
      <xdr:rowOff>107337</xdr:rowOff>
    </xdr:to>
    <xdr:graphicFrame macro="">
      <xdr:nvGraphicFramePr>
        <xdr:cNvPr id="12" name="图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280783</xdr:colOff>
      <xdr:row>85</xdr:row>
      <xdr:rowOff>66225</xdr:rowOff>
    </xdr:from>
    <xdr:to>
      <xdr:col>17</xdr:col>
      <xdr:colOff>668183</xdr:colOff>
      <xdr:row>99</xdr:row>
      <xdr:rowOff>101425</xdr:rowOff>
    </xdr:to>
    <xdr:graphicFrame macro="">
      <xdr:nvGraphicFramePr>
        <xdr:cNvPr id="13" name="图表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0</xdr:colOff>
      <xdr:row>99</xdr:row>
      <xdr:rowOff>96811</xdr:rowOff>
    </xdr:from>
    <xdr:to>
      <xdr:col>14</xdr:col>
      <xdr:colOff>285800</xdr:colOff>
      <xdr:row>113</xdr:row>
      <xdr:rowOff>132011</xdr:rowOff>
    </xdr:to>
    <xdr:graphicFrame macro="">
      <xdr:nvGraphicFramePr>
        <xdr:cNvPr id="15" name="图表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670718</xdr:colOff>
      <xdr:row>99</xdr:row>
      <xdr:rowOff>97739</xdr:rowOff>
    </xdr:from>
    <xdr:to>
      <xdr:col>21</xdr:col>
      <xdr:colOff>723900</xdr:colOff>
      <xdr:row>113</xdr:row>
      <xdr:rowOff>132939</xdr:rowOff>
    </xdr:to>
    <xdr:graphicFrame macro="">
      <xdr:nvGraphicFramePr>
        <xdr:cNvPr id="17" name="图表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280784</xdr:colOff>
      <xdr:row>99</xdr:row>
      <xdr:rowOff>99367</xdr:rowOff>
    </xdr:from>
    <xdr:to>
      <xdr:col>17</xdr:col>
      <xdr:colOff>668184</xdr:colOff>
      <xdr:row>113</xdr:row>
      <xdr:rowOff>127000</xdr:rowOff>
    </xdr:to>
    <xdr:graphicFrame macro="">
      <xdr:nvGraphicFramePr>
        <xdr:cNvPr id="16" name="图表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 fLocksWithSheet="0"/>
  </xdr:twoCellAnchor>
  <xdr:twoCellAnchor>
    <xdr:from>
      <xdr:col>14</xdr:col>
      <xdr:colOff>270933</xdr:colOff>
      <xdr:row>117</xdr:row>
      <xdr:rowOff>0</xdr:rowOff>
    </xdr:from>
    <xdr:to>
      <xdr:col>17</xdr:col>
      <xdr:colOff>657887</xdr:colOff>
      <xdr:row>131</xdr:row>
      <xdr:rowOff>84666</xdr:rowOff>
    </xdr:to>
    <xdr:graphicFrame macro="">
      <xdr:nvGraphicFramePr>
        <xdr:cNvPr id="18" name="图表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660404</xdr:colOff>
      <xdr:row>117</xdr:row>
      <xdr:rowOff>0</xdr:rowOff>
    </xdr:from>
    <xdr:to>
      <xdr:col>21</xdr:col>
      <xdr:colOff>674824</xdr:colOff>
      <xdr:row>131</xdr:row>
      <xdr:rowOff>84666</xdr:rowOff>
    </xdr:to>
    <xdr:graphicFrame macro="">
      <xdr:nvGraphicFramePr>
        <xdr:cNvPr id="19" name="图表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11</xdr:col>
      <xdr:colOff>0</xdr:colOff>
      <xdr:row>131</xdr:row>
      <xdr:rowOff>84669</xdr:rowOff>
    </xdr:from>
    <xdr:to>
      <xdr:col>14</xdr:col>
      <xdr:colOff>268421</xdr:colOff>
      <xdr:row>145</xdr:row>
      <xdr:rowOff>157300</xdr:rowOff>
    </xdr:to>
    <xdr:graphicFrame macro="">
      <xdr:nvGraphicFramePr>
        <xdr:cNvPr id="20" name="图表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14</xdr:col>
      <xdr:colOff>270934</xdr:colOff>
      <xdr:row>131</xdr:row>
      <xdr:rowOff>84669</xdr:rowOff>
    </xdr:from>
    <xdr:to>
      <xdr:col>17</xdr:col>
      <xdr:colOff>657889</xdr:colOff>
      <xdr:row>145</xdr:row>
      <xdr:rowOff>157300</xdr:rowOff>
    </xdr:to>
    <xdr:graphicFrame macro="">
      <xdr:nvGraphicFramePr>
        <xdr:cNvPr id="21" name="图表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17</xdr:col>
      <xdr:colOff>660403</xdr:colOff>
      <xdr:row>131</xdr:row>
      <xdr:rowOff>84669</xdr:rowOff>
    </xdr:from>
    <xdr:to>
      <xdr:col>21</xdr:col>
      <xdr:colOff>674825</xdr:colOff>
      <xdr:row>145</xdr:row>
      <xdr:rowOff>157300</xdr:rowOff>
    </xdr:to>
    <xdr:graphicFrame macro="">
      <xdr:nvGraphicFramePr>
        <xdr:cNvPr id="22" name="图表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11</xdr:col>
      <xdr:colOff>0</xdr:colOff>
      <xdr:row>145</xdr:row>
      <xdr:rowOff>152405</xdr:rowOff>
    </xdr:from>
    <xdr:to>
      <xdr:col>14</xdr:col>
      <xdr:colOff>268421</xdr:colOff>
      <xdr:row>160</xdr:row>
      <xdr:rowOff>21836</xdr:rowOff>
    </xdr:to>
    <xdr:graphicFrame macro="">
      <xdr:nvGraphicFramePr>
        <xdr:cNvPr id="23" name="图表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李 文华" refreshedDate="43347.068806249998" createdVersion="4" refreshedVersion="4" minRefreshableVersion="3" recordCount="126">
  <cacheSource type="worksheet">
    <worksheetSource ref="B11:H137" sheet="Q1TransportationFP"/>
  </cacheSource>
  <cacheFields count="7">
    <cacheField name="Transporting Means" numFmtId="0">
      <sharedItems count="4">
        <s v="Truck"/>
        <s v="Train"/>
        <s v="Airplane"/>
        <s v="Sea ship"/>
      </sharedItems>
    </cacheField>
    <cacheField name="Sub Transporting Means" numFmtId="0">
      <sharedItems count="4">
        <s v="NA"/>
        <s v="Airplane"/>
        <s v="Truck"/>
        <s v="Sea ship"/>
      </sharedItems>
    </cacheField>
    <cacheField name="Indicator" numFmtId="0">
      <sharedItems count="7">
        <s v="Energy consumption"/>
        <s v="GHG emissions as CO2e"/>
        <s v="CO2 emissions"/>
        <s v="Nitrogen oxides"/>
        <s v="Non-methane hydrocarbon"/>
        <s v="Sulfur dioxide"/>
        <s v="Particulate matter"/>
      </sharedItems>
    </cacheField>
    <cacheField name="Interval" numFmtId="0">
      <sharedItems count="3">
        <s v="WTT"/>
        <s v="TTW"/>
        <s v="WTW"/>
      </sharedItems>
    </cacheField>
    <cacheField name="Metric Unit" numFmtId="0">
      <sharedItems count="3">
        <s v="Kilowatthours"/>
        <s v="Tonnes"/>
        <s v="kilogram"/>
      </sharedItems>
    </cacheField>
    <cacheField name="Distance(km)" numFmtId="0">
      <sharedItems containsSemiMixedTypes="0" containsString="0" containsNumber="1" containsInteger="1" minValue="30" maxValue="2271"/>
    </cacheField>
    <cacheField name="Absolute Value" numFmtId="0">
      <sharedItems containsSemiMixedTypes="0" containsString="0" containsNumber="1" minValue="3.8000000000000002E-4" maxValue="59321" count="125">
        <n v="3636"/>
        <n v="18262"/>
        <n v="21898"/>
        <n v="0.3"/>
        <n v="1.35"/>
        <n v="1.65"/>
        <n v="0.28999999999999998"/>
        <n v="1.33"/>
        <n v="1.62"/>
        <n v="0.71"/>
        <n v="11.23"/>
        <n v="11.940000000000001"/>
        <n v="0.45"/>
        <n v="0.4"/>
        <n v="0.85000000000000009"/>
        <n v="0.56499999999999995"/>
        <n v="7.5999999999999998E-2"/>
        <n v="0.6409999999999999"/>
        <n v="2.8000000000000001E-2"/>
        <n v="0.23799999999999999"/>
        <n v="0.26600000000000001"/>
        <n v="8124"/>
        <n v="3329"/>
        <n v="11453"/>
        <n v="0.75700000000000001"/>
        <n v="8.1000000000000003E-2"/>
        <n v="0.83799999999999997"/>
        <n v="0.69799999999999995"/>
        <n v="0.08"/>
        <n v="0.77799999999999991"/>
        <n v="1.98"/>
        <n v="1.1599999999999999"/>
        <n v="3.1399999999999997"/>
        <n v="5.0999999999999997E-2"/>
        <n v="5.2999999999999999E-2"/>
        <n v="0.104"/>
        <n v="1.72"/>
        <n v="2.5000000000000001E-3"/>
        <n v="1.7224999999999999"/>
        <n v="0.28000000000000003"/>
        <n v="1.2999999999999999E-2"/>
        <n v="0.29300000000000004"/>
        <n v="9491"/>
        <n v="49830"/>
        <n v="59321"/>
        <n v="2.8523000000000001"/>
        <n v="12.9338"/>
        <n v="15.786099999999999"/>
        <n v="2.8342999999999998"/>
        <n v="12.8262"/>
        <n v="15.660499999999999"/>
        <n v="6.8959999999999999"/>
        <n v="48.404000000000003"/>
        <n v="55.300000000000004"/>
        <n v="4.4648000000000003"/>
        <n v="1.986"/>
        <n v="6.4508000000000001"/>
        <n v="5.5361000000000002"/>
        <n v="3.4169"/>
        <n v="8.9529999999999994"/>
        <n v="0.2641"/>
        <n v="0.40451999999999999"/>
        <n v="0.66861999999999999"/>
        <n v="17"/>
        <n v="84"/>
        <n v="101"/>
        <n v="5.0000000000000001E-3"/>
        <n v="2.24E-2"/>
        <n v="2.7400000000000001E-2"/>
        <n v="4.7999999999999996E-3"/>
        <n v="2.2100000000000002E-2"/>
        <n v="2.69E-2"/>
        <n v="1.2E-2"/>
        <n v="6.2E-2"/>
        <n v="7.3999999999999996E-2"/>
        <n v="7.4999999999999997E-3"/>
        <n v="1E-3"/>
        <n v="8.5000000000000006E-3"/>
        <n v="9.3799999999999994E-3"/>
        <n v="6.9999999999999999E-4"/>
        <n v="1.0079999999999999E-2"/>
        <n v="4.4999999999999999E-4"/>
        <n v="1.0399999999999999E-3"/>
        <n v="1.49E-3"/>
        <n v="31"/>
        <n v="350"/>
        <n v="381"/>
        <n v="8.3000000000000001E-3"/>
        <n v="9.7900000000000001E-2"/>
        <n v="0.1062"/>
        <n v="9.7600000000000006E-2"/>
        <n v="0.10590000000000001"/>
        <n v="4.8899999999999999E-2"/>
        <n v="1.8494999999999999"/>
        <n v="1.8983999999999999"/>
        <n v="4.0800000000000003E-2"/>
        <n v="6.7409999999999998E-2"/>
        <n v="0.10821"/>
        <n v="0.10972"/>
        <n v="1.52624"/>
        <n v="1.6359600000000001"/>
        <n v="2.512E-2"/>
        <n v="0.19542999999999999"/>
        <n v="0.22055"/>
        <n v="14"/>
        <n v="71"/>
        <n v="85"/>
        <n v="4.1999999999999997E-3"/>
        <n v="1.9E-2"/>
        <n v="2.3199999999999998E-2"/>
        <n v="4.1000000000000003E-3"/>
        <n v="1.8599999999999998E-2"/>
        <n v="2.2699999999999998E-2"/>
        <n v="0.01"/>
        <n v="5.3800000000000001E-2"/>
        <n v="6.3799999999999996E-2"/>
        <n v="6.3499999999999997E-3"/>
        <n v="8.5999999999999998E-4"/>
        <n v="7.2099999999999994E-3"/>
        <n v="7.9299999999999995E-3"/>
        <n v="5.9000000000000003E-4"/>
        <n v="8.5199999999999998E-3"/>
        <n v="3.8000000000000002E-4"/>
        <n v="8.8999999999999995E-4"/>
        <n v="1.2699999999999999E-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6">
  <r>
    <x v="0"/>
    <x v="0"/>
    <x v="0"/>
    <x v="0"/>
    <x v="0"/>
    <n v="2076"/>
    <x v="0"/>
  </r>
  <r>
    <x v="0"/>
    <x v="0"/>
    <x v="0"/>
    <x v="1"/>
    <x v="0"/>
    <n v="2076"/>
    <x v="1"/>
  </r>
  <r>
    <x v="0"/>
    <x v="0"/>
    <x v="0"/>
    <x v="2"/>
    <x v="0"/>
    <n v="2076"/>
    <x v="2"/>
  </r>
  <r>
    <x v="0"/>
    <x v="0"/>
    <x v="1"/>
    <x v="0"/>
    <x v="1"/>
    <n v="2076"/>
    <x v="3"/>
  </r>
  <r>
    <x v="0"/>
    <x v="0"/>
    <x v="1"/>
    <x v="1"/>
    <x v="1"/>
    <n v="2076"/>
    <x v="4"/>
  </r>
  <r>
    <x v="0"/>
    <x v="0"/>
    <x v="1"/>
    <x v="2"/>
    <x v="1"/>
    <n v="2076"/>
    <x v="5"/>
  </r>
  <r>
    <x v="0"/>
    <x v="0"/>
    <x v="2"/>
    <x v="0"/>
    <x v="1"/>
    <n v="2076"/>
    <x v="6"/>
  </r>
  <r>
    <x v="0"/>
    <x v="0"/>
    <x v="2"/>
    <x v="1"/>
    <x v="1"/>
    <n v="2076"/>
    <x v="7"/>
  </r>
  <r>
    <x v="0"/>
    <x v="0"/>
    <x v="2"/>
    <x v="2"/>
    <x v="1"/>
    <n v="2076"/>
    <x v="8"/>
  </r>
  <r>
    <x v="0"/>
    <x v="0"/>
    <x v="3"/>
    <x v="0"/>
    <x v="2"/>
    <n v="2076"/>
    <x v="9"/>
  </r>
  <r>
    <x v="0"/>
    <x v="0"/>
    <x v="3"/>
    <x v="1"/>
    <x v="2"/>
    <n v="2076"/>
    <x v="10"/>
  </r>
  <r>
    <x v="0"/>
    <x v="0"/>
    <x v="3"/>
    <x v="2"/>
    <x v="2"/>
    <n v="2076"/>
    <x v="11"/>
  </r>
  <r>
    <x v="0"/>
    <x v="0"/>
    <x v="4"/>
    <x v="0"/>
    <x v="2"/>
    <n v="2076"/>
    <x v="12"/>
  </r>
  <r>
    <x v="0"/>
    <x v="0"/>
    <x v="4"/>
    <x v="1"/>
    <x v="2"/>
    <n v="2076"/>
    <x v="13"/>
  </r>
  <r>
    <x v="0"/>
    <x v="0"/>
    <x v="4"/>
    <x v="2"/>
    <x v="2"/>
    <n v="2076"/>
    <x v="14"/>
  </r>
  <r>
    <x v="0"/>
    <x v="0"/>
    <x v="5"/>
    <x v="0"/>
    <x v="2"/>
    <n v="2076"/>
    <x v="15"/>
  </r>
  <r>
    <x v="0"/>
    <x v="0"/>
    <x v="5"/>
    <x v="1"/>
    <x v="2"/>
    <n v="2076"/>
    <x v="16"/>
  </r>
  <r>
    <x v="0"/>
    <x v="0"/>
    <x v="5"/>
    <x v="2"/>
    <x v="2"/>
    <n v="2076"/>
    <x v="17"/>
  </r>
  <r>
    <x v="0"/>
    <x v="0"/>
    <x v="6"/>
    <x v="0"/>
    <x v="2"/>
    <n v="2076"/>
    <x v="18"/>
  </r>
  <r>
    <x v="0"/>
    <x v="0"/>
    <x v="6"/>
    <x v="1"/>
    <x v="2"/>
    <n v="2076"/>
    <x v="19"/>
  </r>
  <r>
    <x v="0"/>
    <x v="0"/>
    <x v="6"/>
    <x v="2"/>
    <x v="2"/>
    <n v="2076"/>
    <x v="20"/>
  </r>
  <r>
    <x v="1"/>
    <x v="0"/>
    <x v="0"/>
    <x v="0"/>
    <x v="0"/>
    <n v="2271"/>
    <x v="21"/>
  </r>
  <r>
    <x v="1"/>
    <x v="0"/>
    <x v="0"/>
    <x v="1"/>
    <x v="0"/>
    <n v="2271"/>
    <x v="22"/>
  </r>
  <r>
    <x v="1"/>
    <x v="0"/>
    <x v="0"/>
    <x v="2"/>
    <x v="0"/>
    <n v="2271"/>
    <x v="23"/>
  </r>
  <r>
    <x v="1"/>
    <x v="0"/>
    <x v="1"/>
    <x v="0"/>
    <x v="1"/>
    <n v="2271"/>
    <x v="24"/>
  </r>
  <r>
    <x v="1"/>
    <x v="0"/>
    <x v="1"/>
    <x v="1"/>
    <x v="1"/>
    <n v="2271"/>
    <x v="25"/>
  </r>
  <r>
    <x v="1"/>
    <x v="0"/>
    <x v="1"/>
    <x v="2"/>
    <x v="1"/>
    <n v="2271"/>
    <x v="26"/>
  </r>
  <r>
    <x v="1"/>
    <x v="0"/>
    <x v="2"/>
    <x v="0"/>
    <x v="1"/>
    <n v="2271"/>
    <x v="27"/>
  </r>
  <r>
    <x v="1"/>
    <x v="0"/>
    <x v="2"/>
    <x v="1"/>
    <x v="1"/>
    <n v="2271"/>
    <x v="28"/>
  </r>
  <r>
    <x v="1"/>
    <x v="0"/>
    <x v="2"/>
    <x v="2"/>
    <x v="1"/>
    <n v="2271"/>
    <x v="29"/>
  </r>
  <r>
    <x v="1"/>
    <x v="0"/>
    <x v="3"/>
    <x v="0"/>
    <x v="2"/>
    <n v="2271"/>
    <x v="30"/>
  </r>
  <r>
    <x v="1"/>
    <x v="0"/>
    <x v="3"/>
    <x v="1"/>
    <x v="2"/>
    <n v="2271"/>
    <x v="31"/>
  </r>
  <r>
    <x v="1"/>
    <x v="0"/>
    <x v="3"/>
    <x v="2"/>
    <x v="2"/>
    <n v="2271"/>
    <x v="32"/>
  </r>
  <r>
    <x v="1"/>
    <x v="0"/>
    <x v="4"/>
    <x v="0"/>
    <x v="2"/>
    <n v="2271"/>
    <x v="33"/>
  </r>
  <r>
    <x v="1"/>
    <x v="0"/>
    <x v="4"/>
    <x v="1"/>
    <x v="2"/>
    <n v="2271"/>
    <x v="34"/>
  </r>
  <r>
    <x v="1"/>
    <x v="0"/>
    <x v="4"/>
    <x v="2"/>
    <x v="2"/>
    <n v="2271"/>
    <x v="35"/>
  </r>
  <r>
    <x v="1"/>
    <x v="0"/>
    <x v="5"/>
    <x v="0"/>
    <x v="2"/>
    <n v="2271"/>
    <x v="36"/>
  </r>
  <r>
    <x v="1"/>
    <x v="0"/>
    <x v="5"/>
    <x v="1"/>
    <x v="2"/>
    <n v="2271"/>
    <x v="37"/>
  </r>
  <r>
    <x v="1"/>
    <x v="0"/>
    <x v="5"/>
    <x v="2"/>
    <x v="2"/>
    <n v="2271"/>
    <x v="38"/>
  </r>
  <r>
    <x v="1"/>
    <x v="0"/>
    <x v="6"/>
    <x v="0"/>
    <x v="2"/>
    <n v="2271"/>
    <x v="39"/>
  </r>
  <r>
    <x v="1"/>
    <x v="0"/>
    <x v="6"/>
    <x v="1"/>
    <x v="2"/>
    <n v="2271"/>
    <x v="40"/>
  </r>
  <r>
    <x v="1"/>
    <x v="0"/>
    <x v="6"/>
    <x v="2"/>
    <x v="2"/>
    <n v="2271"/>
    <x v="41"/>
  </r>
  <r>
    <x v="2"/>
    <x v="1"/>
    <x v="0"/>
    <x v="0"/>
    <x v="0"/>
    <n v="959"/>
    <x v="42"/>
  </r>
  <r>
    <x v="2"/>
    <x v="1"/>
    <x v="0"/>
    <x v="1"/>
    <x v="0"/>
    <n v="959"/>
    <x v="43"/>
  </r>
  <r>
    <x v="2"/>
    <x v="1"/>
    <x v="0"/>
    <x v="2"/>
    <x v="0"/>
    <n v="959"/>
    <x v="44"/>
  </r>
  <r>
    <x v="2"/>
    <x v="1"/>
    <x v="1"/>
    <x v="0"/>
    <x v="1"/>
    <n v="959"/>
    <x v="45"/>
  </r>
  <r>
    <x v="2"/>
    <x v="1"/>
    <x v="1"/>
    <x v="1"/>
    <x v="1"/>
    <n v="959"/>
    <x v="46"/>
  </r>
  <r>
    <x v="2"/>
    <x v="1"/>
    <x v="1"/>
    <x v="2"/>
    <x v="1"/>
    <n v="959"/>
    <x v="47"/>
  </r>
  <r>
    <x v="2"/>
    <x v="1"/>
    <x v="2"/>
    <x v="0"/>
    <x v="1"/>
    <n v="959"/>
    <x v="48"/>
  </r>
  <r>
    <x v="2"/>
    <x v="1"/>
    <x v="2"/>
    <x v="1"/>
    <x v="1"/>
    <n v="959"/>
    <x v="49"/>
  </r>
  <r>
    <x v="2"/>
    <x v="1"/>
    <x v="2"/>
    <x v="2"/>
    <x v="1"/>
    <n v="959"/>
    <x v="50"/>
  </r>
  <r>
    <x v="2"/>
    <x v="1"/>
    <x v="3"/>
    <x v="0"/>
    <x v="2"/>
    <n v="959"/>
    <x v="51"/>
  </r>
  <r>
    <x v="2"/>
    <x v="1"/>
    <x v="3"/>
    <x v="1"/>
    <x v="2"/>
    <n v="959"/>
    <x v="52"/>
  </r>
  <r>
    <x v="2"/>
    <x v="1"/>
    <x v="3"/>
    <x v="2"/>
    <x v="2"/>
    <n v="959"/>
    <x v="53"/>
  </r>
  <r>
    <x v="2"/>
    <x v="1"/>
    <x v="4"/>
    <x v="0"/>
    <x v="2"/>
    <n v="959"/>
    <x v="54"/>
  </r>
  <r>
    <x v="2"/>
    <x v="1"/>
    <x v="4"/>
    <x v="1"/>
    <x v="2"/>
    <n v="959"/>
    <x v="55"/>
  </r>
  <r>
    <x v="2"/>
    <x v="1"/>
    <x v="4"/>
    <x v="2"/>
    <x v="2"/>
    <n v="959"/>
    <x v="56"/>
  </r>
  <r>
    <x v="2"/>
    <x v="1"/>
    <x v="5"/>
    <x v="0"/>
    <x v="2"/>
    <n v="959"/>
    <x v="57"/>
  </r>
  <r>
    <x v="2"/>
    <x v="1"/>
    <x v="5"/>
    <x v="1"/>
    <x v="2"/>
    <n v="959"/>
    <x v="58"/>
  </r>
  <r>
    <x v="2"/>
    <x v="1"/>
    <x v="5"/>
    <x v="2"/>
    <x v="2"/>
    <n v="959"/>
    <x v="59"/>
  </r>
  <r>
    <x v="2"/>
    <x v="1"/>
    <x v="6"/>
    <x v="0"/>
    <x v="2"/>
    <n v="959"/>
    <x v="60"/>
  </r>
  <r>
    <x v="2"/>
    <x v="1"/>
    <x v="6"/>
    <x v="1"/>
    <x v="2"/>
    <n v="959"/>
    <x v="61"/>
  </r>
  <r>
    <x v="2"/>
    <x v="1"/>
    <x v="6"/>
    <x v="2"/>
    <x v="2"/>
    <n v="959"/>
    <x v="62"/>
  </r>
  <r>
    <x v="2"/>
    <x v="2"/>
    <x v="0"/>
    <x v="0"/>
    <x v="0"/>
    <n v="36"/>
    <x v="63"/>
  </r>
  <r>
    <x v="2"/>
    <x v="2"/>
    <x v="0"/>
    <x v="1"/>
    <x v="0"/>
    <n v="36"/>
    <x v="64"/>
  </r>
  <r>
    <x v="2"/>
    <x v="2"/>
    <x v="0"/>
    <x v="2"/>
    <x v="0"/>
    <n v="36"/>
    <x v="65"/>
  </r>
  <r>
    <x v="2"/>
    <x v="2"/>
    <x v="1"/>
    <x v="0"/>
    <x v="1"/>
    <n v="36"/>
    <x v="66"/>
  </r>
  <r>
    <x v="2"/>
    <x v="2"/>
    <x v="1"/>
    <x v="1"/>
    <x v="1"/>
    <n v="36"/>
    <x v="67"/>
  </r>
  <r>
    <x v="2"/>
    <x v="2"/>
    <x v="1"/>
    <x v="2"/>
    <x v="1"/>
    <n v="36"/>
    <x v="68"/>
  </r>
  <r>
    <x v="2"/>
    <x v="2"/>
    <x v="2"/>
    <x v="0"/>
    <x v="1"/>
    <n v="36"/>
    <x v="69"/>
  </r>
  <r>
    <x v="2"/>
    <x v="2"/>
    <x v="2"/>
    <x v="1"/>
    <x v="1"/>
    <n v="36"/>
    <x v="70"/>
  </r>
  <r>
    <x v="2"/>
    <x v="2"/>
    <x v="2"/>
    <x v="2"/>
    <x v="1"/>
    <n v="36"/>
    <x v="71"/>
  </r>
  <r>
    <x v="2"/>
    <x v="2"/>
    <x v="3"/>
    <x v="0"/>
    <x v="2"/>
    <n v="36"/>
    <x v="72"/>
  </r>
  <r>
    <x v="2"/>
    <x v="2"/>
    <x v="3"/>
    <x v="1"/>
    <x v="2"/>
    <n v="36"/>
    <x v="73"/>
  </r>
  <r>
    <x v="2"/>
    <x v="2"/>
    <x v="3"/>
    <x v="2"/>
    <x v="2"/>
    <n v="36"/>
    <x v="74"/>
  </r>
  <r>
    <x v="2"/>
    <x v="2"/>
    <x v="4"/>
    <x v="0"/>
    <x v="2"/>
    <n v="36"/>
    <x v="75"/>
  </r>
  <r>
    <x v="2"/>
    <x v="2"/>
    <x v="4"/>
    <x v="1"/>
    <x v="2"/>
    <n v="36"/>
    <x v="76"/>
  </r>
  <r>
    <x v="2"/>
    <x v="2"/>
    <x v="4"/>
    <x v="2"/>
    <x v="2"/>
    <n v="36"/>
    <x v="77"/>
  </r>
  <r>
    <x v="2"/>
    <x v="2"/>
    <x v="5"/>
    <x v="0"/>
    <x v="2"/>
    <n v="36"/>
    <x v="78"/>
  </r>
  <r>
    <x v="2"/>
    <x v="2"/>
    <x v="5"/>
    <x v="1"/>
    <x v="2"/>
    <n v="36"/>
    <x v="79"/>
  </r>
  <r>
    <x v="2"/>
    <x v="2"/>
    <x v="5"/>
    <x v="2"/>
    <x v="2"/>
    <n v="36"/>
    <x v="80"/>
  </r>
  <r>
    <x v="2"/>
    <x v="2"/>
    <x v="6"/>
    <x v="0"/>
    <x v="2"/>
    <n v="36"/>
    <x v="81"/>
  </r>
  <r>
    <x v="2"/>
    <x v="2"/>
    <x v="6"/>
    <x v="1"/>
    <x v="2"/>
    <n v="36"/>
    <x v="82"/>
  </r>
  <r>
    <x v="2"/>
    <x v="2"/>
    <x v="6"/>
    <x v="2"/>
    <x v="2"/>
    <n v="36"/>
    <x v="83"/>
  </r>
  <r>
    <x v="3"/>
    <x v="3"/>
    <x v="0"/>
    <x v="0"/>
    <x v="0"/>
    <n v="934"/>
    <x v="84"/>
  </r>
  <r>
    <x v="3"/>
    <x v="3"/>
    <x v="0"/>
    <x v="1"/>
    <x v="0"/>
    <n v="934"/>
    <x v="85"/>
  </r>
  <r>
    <x v="3"/>
    <x v="3"/>
    <x v="0"/>
    <x v="2"/>
    <x v="0"/>
    <n v="934"/>
    <x v="86"/>
  </r>
  <r>
    <x v="3"/>
    <x v="3"/>
    <x v="1"/>
    <x v="0"/>
    <x v="1"/>
    <n v="934"/>
    <x v="87"/>
  </r>
  <r>
    <x v="3"/>
    <x v="3"/>
    <x v="1"/>
    <x v="1"/>
    <x v="1"/>
    <n v="934"/>
    <x v="88"/>
  </r>
  <r>
    <x v="3"/>
    <x v="3"/>
    <x v="1"/>
    <x v="2"/>
    <x v="1"/>
    <n v="934"/>
    <x v="89"/>
  </r>
  <r>
    <x v="3"/>
    <x v="3"/>
    <x v="2"/>
    <x v="0"/>
    <x v="1"/>
    <n v="934"/>
    <x v="87"/>
  </r>
  <r>
    <x v="3"/>
    <x v="3"/>
    <x v="2"/>
    <x v="1"/>
    <x v="1"/>
    <n v="934"/>
    <x v="90"/>
  </r>
  <r>
    <x v="3"/>
    <x v="3"/>
    <x v="2"/>
    <x v="2"/>
    <x v="1"/>
    <n v="934"/>
    <x v="91"/>
  </r>
  <r>
    <x v="3"/>
    <x v="3"/>
    <x v="3"/>
    <x v="0"/>
    <x v="2"/>
    <n v="934"/>
    <x v="92"/>
  </r>
  <r>
    <x v="3"/>
    <x v="3"/>
    <x v="3"/>
    <x v="1"/>
    <x v="2"/>
    <n v="934"/>
    <x v="93"/>
  </r>
  <r>
    <x v="3"/>
    <x v="3"/>
    <x v="3"/>
    <x v="2"/>
    <x v="2"/>
    <n v="934"/>
    <x v="94"/>
  </r>
  <r>
    <x v="3"/>
    <x v="3"/>
    <x v="4"/>
    <x v="0"/>
    <x v="2"/>
    <n v="934"/>
    <x v="95"/>
  </r>
  <r>
    <x v="3"/>
    <x v="3"/>
    <x v="4"/>
    <x v="1"/>
    <x v="2"/>
    <n v="934"/>
    <x v="96"/>
  </r>
  <r>
    <x v="3"/>
    <x v="3"/>
    <x v="4"/>
    <x v="2"/>
    <x v="2"/>
    <n v="934"/>
    <x v="97"/>
  </r>
  <r>
    <x v="3"/>
    <x v="3"/>
    <x v="5"/>
    <x v="0"/>
    <x v="2"/>
    <n v="934"/>
    <x v="98"/>
  </r>
  <r>
    <x v="3"/>
    <x v="3"/>
    <x v="5"/>
    <x v="1"/>
    <x v="2"/>
    <n v="934"/>
    <x v="99"/>
  </r>
  <r>
    <x v="3"/>
    <x v="3"/>
    <x v="5"/>
    <x v="2"/>
    <x v="2"/>
    <n v="934"/>
    <x v="100"/>
  </r>
  <r>
    <x v="3"/>
    <x v="3"/>
    <x v="6"/>
    <x v="0"/>
    <x v="2"/>
    <n v="934"/>
    <x v="101"/>
  </r>
  <r>
    <x v="3"/>
    <x v="3"/>
    <x v="6"/>
    <x v="1"/>
    <x v="2"/>
    <n v="934"/>
    <x v="102"/>
  </r>
  <r>
    <x v="3"/>
    <x v="3"/>
    <x v="6"/>
    <x v="2"/>
    <x v="2"/>
    <n v="934"/>
    <x v="103"/>
  </r>
  <r>
    <x v="3"/>
    <x v="2"/>
    <x v="0"/>
    <x v="0"/>
    <x v="0"/>
    <n v="30"/>
    <x v="104"/>
  </r>
  <r>
    <x v="3"/>
    <x v="2"/>
    <x v="0"/>
    <x v="1"/>
    <x v="0"/>
    <n v="30"/>
    <x v="105"/>
  </r>
  <r>
    <x v="3"/>
    <x v="2"/>
    <x v="0"/>
    <x v="2"/>
    <x v="0"/>
    <n v="30"/>
    <x v="106"/>
  </r>
  <r>
    <x v="3"/>
    <x v="2"/>
    <x v="1"/>
    <x v="0"/>
    <x v="1"/>
    <n v="30"/>
    <x v="107"/>
  </r>
  <r>
    <x v="3"/>
    <x v="2"/>
    <x v="1"/>
    <x v="1"/>
    <x v="1"/>
    <n v="30"/>
    <x v="108"/>
  </r>
  <r>
    <x v="3"/>
    <x v="2"/>
    <x v="1"/>
    <x v="2"/>
    <x v="1"/>
    <n v="30"/>
    <x v="109"/>
  </r>
  <r>
    <x v="3"/>
    <x v="2"/>
    <x v="2"/>
    <x v="0"/>
    <x v="1"/>
    <n v="30"/>
    <x v="110"/>
  </r>
  <r>
    <x v="3"/>
    <x v="2"/>
    <x v="2"/>
    <x v="1"/>
    <x v="1"/>
    <n v="30"/>
    <x v="111"/>
  </r>
  <r>
    <x v="3"/>
    <x v="2"/>
    <x v="2"/>
    <x v="2"/>
    <x v="1"/>
    <n v="30"/>
    <x v="112"/>
  </r>
  <r>
    <x v="3"/>
    <x v="2"/>
    <x v="3"/>
    <x v="0"/>
    <x v="2"/>
    <n v="30"/>
    <x v="113"/>
  </r>
  <r>
    <x v="3"/>
    <x v="2"/>
    <x v="3"/>
    <x v="1"/>
    <x v="2"/>
    <n v="30"/>
    <x v="114"/>
  </r>
  <r>
    <x v="3"/>
    <x v="2"/>
    <x v="3"/>
    <x v="2"/>
    <x v="2"/>
    <n v="30"/>
    <x v="115"/>
  </r>
  <r>
    <x v="3"/>
    <x v="2"/>
    <x v="4"/>
    <x v="0"/>
    <x v="2"/>
    <n v="30"/>
    <x v="116"/>
  </r>
  <r>
    <x v="3"/>
    <x v="2"/>
    <x v="4"/>
    <x v="1"/>
    <x v="2"/>
    <n v="30"/>
    <x v="117"/>
  </r>
  <r>
    <x v="3"/>
    <x v="2"/>
    <x v="4"/>
    <x v="2"/>
    <x v="2"/>
    <n v="30"/>
    <x v="118"/>
  </r>
  <r>
    <x v="3"/>
    <x v="2"/>
    <x v="5"/>
    <x v="0"/>
    <x v="2"/>
    <n v="30"/>
    <x v="119"/>
  </r>
  <r>
    <x v="3"/>
    <x v="2"/>
    <x v="5"/>
    <x v="1"/>
    <x v="2"/>
    <n v="30"/>
    <x v="120"/>
  </r>
  <r>
    <x v="3"/>
    <x v="2"/>
    <x v="5"/>
    <x v="2"/>
    <x v="2"/>
    <n v="30"/>
    <x v="121"/>
  </r>
  <r>
    <x v="3"/>
    <x v="2"/>
    <x v="6"/>
    <x v="0"/>
    <x v="2"/>
    <n v="30"/>
    <x v="122"/>
  </r>
  <r>
    <x v="3"/>
    <x v="2"/>
    <x v="6"/>
    <x v="1"/>
    <x v="2"/>
    <n v="30"/>
    <x v="123"/>
  </r>
  <r>
    <x v="3"/>
    <x v="2"/>
    <x v="6"/>
    <x v="2"/>
    <x v="2"/>
    <n v="30"/>
    <x v="12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1" cacheId="7" applyNumberFormats="0" applyBorderFormats="0" applyFontFormats="0" applyPatternFormats="0" applyAlignmentFormats="0" applyWidthHeightFormats="1" dataCaption="值" updatedVersion="4" minRefreshableVersion="3" useAutoFormatting="1" rowGrandTotals="0" colGrandTotals="0" itemPrintTitles="1" createdVersion="4" indent="0" compact="0" compactData="0" gridDropZones="1" multipleFieldFilters="0">
  <location ref="B140:H183" firstHeaderRow="1" firstDataRow="2" firstDataCol="4"/>
  <pivotFields count="7">
    <pivotField axis="axisRow" compact="0" outline="0" showAll="0" defaultSubtotal="0">
      <items count="4">
        <item x="2"/>
        <item x="3"/>
        <item x="1"/>
        <item x="0"/>
      </items>
    </pivotField>
    <pivotField axis="axisRow" compact="0" outline="0" showAll="0" defaultSubtotal="0">
      <items count="4">
        <item x="1"/>
        <item x="0"/>
        <item x="3"/>
        <item x="2"/>
      </items>
    </pivotField>
    <pivotField axis="axisRow" compact="0" outline="0" showAll="0" defaultSubtotal="0">
      <items count="7">
        <item x="2"/>
        <item x="0"/>
        <item x="1"/>
        <item x="3"/>
        <item x="4"/>
        <item x="6"/>
        <item x="5"/>
      </items>
    </pivotField>
    <pivotField axis="axisCol" compact="0" outline="0" showAll="0" defaultSubtotal="0">
      <items count="3">
        <item x="1"/>
        <item x="0"/>
        <item x="2"/>
      </items>
    </pivotField>
    <pivotField axis="axisRow" compact="0" outline="0" showAll="0" defaultSubtotal="0">
      <items count="3">
        <item x="2"/>
        <item x="0"/>
        <item x="1"/>
      </items>
    </pivotField>
    <pivotField compact="0" outline="0" showAll="0"/>
    <pivotField dataField="1" compact="0" outline="0" showAll="0">
      <items count="126">
        <item x="122"/>
        <item x="81"/>
        <item x="120"/>
        <item x="79"/>
        <item x="117"/>
        <item x="123"/>
        <item x="76"/>
        <item x="82"/>
        <item x="124"/>
        <item x="83"/>
        <item x="37"/>
        <item x="110"/>
        <item x="107"/>
        <item x="69"/>
        <item x="66"/>
        <item x="116"/>
        <item x="118"/>
        <item x="75"/>
        <item x="119"/>
        <item x="87"/>
        <item x="77"/>
        <item x="121"/>
        <item x="78"/>
        <item x="113"/>
        <item x="80"/>
        <item x="72"/>
        <item x="40"/>
        <item x="111"/>
        <item x="108"/>
        <item x="70"/>
        <item x="67"/>
        <item x="112"/>
        <item x="109"/>
        <item x="101"/>
        <item x="71"/>
        <item x="68"/>
        <item x="18"/>
        <item x="95"/>
        <item x="92"/>
        <item x="33"/>
        <item x="34"/>
        <item x="114"/>
        <item x="73"/>
        <item x="115"/>
        <item x="96"/>
        <item x="74"/>
        <item x="16"/>
        <item x="28"/>
        <item x="25"/>
        <item x="90"/>
        <item x="88"/>
        <item x="35"/>
        <item x="91"/>
        <item x="89"/>
        <item x="97"/>
        <item x="98"/>
        <item x="102"/>
        <item x="103"/>
        <item x="19"/>
        <item x="60"/>
        <item x="20"/>
        <item x="39"/>
        <item x="6"/>
        <item x="41"/>
        <item x="3"/>
        <item x="13"/>
        <item x="61"/>
        <item x="12"/>
        <item x="15"/>
        <item x="17"/>
        <item x="62"/>
        <item x="27"/>
        <item x="9"/>
        <item x="24"/>
        <item x="29"/>
        <item x="26"/>
        <item x="14"/>
        <item x="31"/>
        <item x="7"/>
        <item x="4"/>
        <item x="99"/>
        <item x="8"/>
        <item x="100"/>
        <item x="5"/>
        <item x="36"/>
        <item x="38"/>
        <item x="93"/>
        <item x="94"/>
        <item x="30"/>
        <item x="55"/>
        <item x="48"/>
        <item x="45"/>
        <item x="32"/>
        <item x="58"/>
        <item x="54"/>
        <item x="57"/>
        <item x="56"/>
        <item x="51"/>
        <item x="59"/>
        <item x="10"/>
        <item x="11"/>
        <item x="49"/>
        <item x="46"/>
        <item x="104"/>
        <item x="50"/>
        <item x="47"/>
        <item x="63"/>
        <item x="84"/>
        <item x="52"/>
        <item x="53"/>
        <item x="105"/>
        <item x="64"/>
        <item x="106"/>
        <item x="65"/>
        <item x="85"/>
        <item x="86"/>
        <item x="22"/>
        <item x="0"/>
        <item x="21"/>
        <item x="42"/>
        <item x="23"/>
        <item x="1"/>
        <item x="2"/>
        <item x="43"/>
        <item x="44"/>
        <item t="default"/>
      </items>
    </pivotField>
  </pivotFields>
  <rowFields count="4">
    <field x="0"/>
    <field x="1"/>
    <field x="4"/>
    <field x="2"/>
  </rowFields>
  <rowItems count="42">
    <i>
      <x/>
      <x/>
      <x/>
      <x v="3"/>
    </i>
    <i r="3">
      <x v="4"/>
    </i>
    <i r="3">
      <x v="5"/>
    </i>
    <i r="3">
      <x v="6"/>
    </i>
    <i r="2">
      <x v="1"/>
      <x v="1"/>
    </i>
    <i r="2">
      <x v="2"/>
      <x/>
    </i>
    <i r="3">
      <x v="2"/>
    </i>
    <i r="1">
      <x v="3"/>
      <x/>
      <x v="3"/>
    </i>
    <i r="3">
      <x v="4"/>
    </i>
    <i r="3">
      <x v="5"/>
    </i>
    <i r="3">
      <x v="6"/>
    </i>
    <i r="2">
      <x v="1"/>
      <x v="1"/>
    </i>
    <i r="2">
      <x v="2"/>
      <x/>
    </i>
    <i r="3">
      <x v="2"/>
    </i>
    <i>
      <x v="1"/>
      <x v="2"/>
      <x/>
      <x v="3"/>
    </i>
    <i r="3">
      <x v="4"/>
    </i>
    <i r="3">
      <x v="5"/>
    </i>
    <i r="3">
      <x v="6"/>
    </i>
    <i r="2">
      <x v="1"/>
      <x v="1"/>
    </i>
    <i r="2">
      <x v="2"/>
      <x/>
    </i>
    <i r="3">
      <x v="2"/>
    </i>
    <i r="1">
      <x v="3"/>
      <x/>
      <x v="3"/>
    </i>
    <i r="3">
      <x v="4"/>
    </i>
    <i r="3">
      <x v="5"/>
    </i>
    <i r="3">
      <x v="6"/>
    </i>
    <i r="2">
      <x v="1"/>
      <x v="1"/>
    </i>
    <i r="2">
      <x v="2"/>
      <x/>
    </i>
    <i r="3">
      <x v="2"/>
    </i>
    <i>
      <x v="2"/>
      <x v="1"/>
      <x/>
      <x v="3"/>
    </i>
    <i r="3">
      <x v="4"/>
    </i>
    <i r="3">
      <x v="5"/>
    </i>
    <i r="3">
      <x v="6"/>
    </i>
    <i r="2">
      <x v="1"/>
      <x v="1"/>
    </i>
    <i r="2">
      <x v="2"/>
      <x/>
    </i>
    <i r="3">
      <x v="2"/>
    </i>
    <i>
      <x v="3"/>
      <x v="1"/>
      <x/>
      <x v="3"/>
    </i>
    <i r="3">
      <x v="4"/>
    </i>
    <i r="3">
      <x v="5"/>
    </i>
    <i r="3">
      <x v="6"/>
    </i>
    <i r="2">
      <x v="1"/>
      <x v="1"/>
    </i>
    <i r="2">
      <x v="2"/>
      <x/>
    </i>
    <i r="3">
      <x v="2"/>
    </i>
  </rowItems>
  <colFields count="1">
    <field x="3"/>
  </colFields>
  <colItems count="3">
    <i>
      <x/>
    </i>
    <i>
      <x v="1"/>
    </i>
    <i>
      <x v="2"/>
    </i>
  </colItems>
  <dataFields count="1">
    <dataField name="求和/Absolute Value" fld="6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DengXian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Relationship Id="rId2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9:L70"/>
  <sheetViews>
    <sheetView tabSelected="1" topLeftCell="D1" workbookViewId="0">
      <selection activeCell="K29" sqref="K29"/>
    </sheetView>
  </sheetViews>
  <sheetFormatPr baseColWidth="10" defaultRowHeight="16" x14ac:dyDescent="0.2"/>
  <cols>
    <col min="1" max="1" width="43.1640625" bestFit="1" customWidth="1"/>
    <col min="2" max="2" width="31.83203125" bestFit="1" customWidth="1"/>
    <col min="3" max="3" width="17.83203125" bestFit="1" customWidth="1"/>
    <col min="4" max="4" width="27.33203125" bestFit="1" customWidth="1"/>
    <col min="7" max="7" width="38.6640625" bestFit="1" customWidth="1"/>
    <col min="8" max="8" width="40.83203125" bestFit="1" customWidth="1"/>
    <col min="10" max="10" width="27.33203125" bestFit="1" customWidth="1"/>
  </cols>
  <sheetData>
    <row r="9" spans="1:12" x14ac:dyDescent="0.2">
      <c r="A9" s="24" t="s">
        <v>112</v>
      </c>
      <c r="G9" s="24" t="s">
        <v>113</v>
      </c>
    </row>
    <row r="10" spans="1:12" s="18" customFormat="1" x14ac:dyDescent="0.2">
      <c r="A10" s="18" t="s">
        <v>55</v>
      </c>
      <c r="B10" s="18" t="s">
        <v>60</v>
      </c>
      <c r="C10" s="18" t="s">
        <v>57</v>
      </c>
      <c r="D10" s="18" t="s">
        <v>106</v>
      </c>
      <c r="E10" s="18" t="s">
        <v>56</v>
      </c>
      <c r="F10" s="27"/>
      <c r="G10" s="18" t="s">
        <v>55</v>
      </c>
      <c r="H10" s="18" t="s">
        <v>60</v>
      </c>
      <c r="I10" s="18" t="s">
        <v>57</v>
      </c>
      <c r="J10" s="18" t="s">
        <v>106</v>
      </c>
      <c r="K10" s="18" t="s">
        <v>56</v>
      </c>
    </row>
    <row r="11" spans="1:12" x14ac:dyDescent="0.2">
      <c r="A11" t="s">
        <v>71</v>
      </c>
      <c r="B11" t="s">
        <v>59</v>
      </c>
      <c r="C11">
        <v>0.04</v>
      </c>
      <c r="D11">
        <f>C11*12</f>
        <v>0.48</v>
      </c>
      <c r="E11" s="23">
        <f>D11/SUM($D$11:$D$30)</f>
        <v>6.4568200161420498E-3</v>
      </c>
      <c r="G11" t="s">
        <v>71</v>
      </c>
      <c r="H11" t="s">
        <v>92</v>
      </c>
      <c r="I11">
        <v>0.02</v>
      </c>
      <c r="J11">
        <f>I11*12</f>
        <v>0.24</v>
      </c>
      <c r="K11" s="23">
        <f>J11/SUM($J$11:$J$27)</f>
        <v>4.5575389289783516E-3</v>
      </c>
      <c r="L11" s="23"/>
    </row>
    <row r="12" spans="1:12" x14ac:dyDescent="0.2">
      <c r="A12" t="s">
        <v>58</v>
      </c>
      <c r="B12" t="s">
        <v>72</v>
      </c>
      <c r="C12">
        <v>0.01</v>
      </c>
      <c r="D12">
        <f>C12*12</f>
        <v>0.12</v>
      </c>
      <c r="E12" s="23">
        <f t="shared" ref="E12:E31" si="0">D12/SUM($D$11:$D$30)</f>
        <v>1.6142050040355124E-3</v>
      </c>
      <c r="G12" t="s">
        <v>58</v>
      </c>
      <c r="H12" t="s">
        <v>93</v>
      </c>
      <c r="I12">
        <v>0</v>
      </c>
      <c r="J12">
        <v>0</v>
      </c>
      <c r="K12" s="23">
        <f t="shared" ref="K12:K29" si="1">J12/SUM($J$11:$J$27)</f>
        <v>0</v>
      </c>
    </row>
    <row r="13" spans="1:12" x14ac:dyDescent="0.2">
      <c r="A13" t="s">
        <v>61</v>
      </c>
      <c r="B13" t="s">
        <v>62</v>
      </c>
      <c r="C13">
        <v>2.74</v>
      </c>
      <c r="D13">
        <v>2.74</v>
      </c>
      <c r="E13" s="23">
        <f t="shared" si="0"/>
        <v>3.6857680925477539E-2</v>
      </c>
      <c r="G13" t="s">
        <v>64</v>
      </c>
      <c r="H13" t="s">
        <v>94</v>
      </c>
      <c r="I13">
        <v>6.82</v>
      </c>
      <c r="J13">
        <v>6.82</v>
      </c>
      <c r="K13" s="23">
        <f t="shared" si="1"/>
        <v>0.12951006456513484</v>
      </c>
    </row>
    <row r="14" spans="1:12" x14ac:dyDescent="0.2">
      <c r="A14" t="s">
        <v>64</v>
      </c>
      <c r="B14" t="s">
        <v>63</v>
      </c>
      <c r="C14">
        <v>1.42</v>
      </c>
      <c r="D14">
        <v>1.42</v>
      </c>
      <c r="E14" s="23">
        <f t="shared" si="0"/>
        <v>1.9101425881086896E-2</v>
      </c>
      <c r="G14" t="s">
        <v>73</v>
      </c>
      <c r="H14" t="s">
        <v>96</v>
      </c>
      <c r="I14">
        <v>0.57999999999999996</v>
      </c>
      <c r="J14">
        <f>I14*12</f>
        <v>6.9599999999999991</v>
      </c>
      <c r="K14" s="23">
        <f t="shared" si="1"/>
        <v>0.13216862894037218</v>
      </c>
    </row>
    <row r="15" spans="1:12" x14ac:dyDescent="0.2">
      <c r="A15" t="s">
        <v>65</v>
      </c>
      <c r="B15" t="s">
        <v>68</v>
      </c>
      <c r="C15">
        <v>0.21</v>
      </c>
      <c r="D15">
        <v>0.21</v>
      </c>
      <c r="E15" s="23">
        <f t="shared" si="0"/>
        <v>2.8248587570621464E-3</v>
      </c>
      <c r="G15" t="s">
        <v>75</v>
      </c>
      <c r="H15" t="s">
        <v>80</v>
      </c>
      <c r="I15">
        <v>0.03</v>
      </c>
      <c r="J15">
        <f t="shared" ref="J15:J28" si="2">I15*12</f>
        <v>0.36</v>
      </c>
      <c r="K15" s="23">
        <f t="shared" si="1"/>
        <v>6.8363083934675278E-3</v>
      </c>
    </row>
    <row r="16" spans="1:12" x14ac:dyDescent="0.2">
      <c r="A16" t="s">
        <v>66</v>
      </c>
      <c r="B16" t="s">
        <v>69</v>
      </c>
      <c r="C16">
        <v>0.47</v>
      </c>
      <c r="D16">
        <v>0.47</v>
      </c>
      <c r="E16" s="23">
        <f t="shared" si="0"/>
        <v>6.3223029324724232E-3</v>
      </c>
      <c r="G16" t="s">
        <v>77</v>
      </c>
      <c r="H16" t="s">
        <v>78</v>
      </c>
      <c r="I16">
        <v>0.23</v>
      </c>
      <c r="J16">
        <f t="shared" si="2"/>
        <v>2.7600000000000002</v>
      </c>
      <c r="K16" s="23">
        <f t="shared" si="1"/>
        <v>5.2411697683251053E-2</v>
      </c>
    </row>
    <row r="17" spans="1:11" x14ac:dyDescent="0.2">
      <c r="A17" t="s">
        <v>67</v>
      </c>
      <c r="B17" t="s">
        <v>70</v>
      </c>
      <c r="C17">
        <v>0.62</v>
      </c>
      <c r="D17">
        <v>0.62</v>
      </c>
      <c r="E17" s="23">
        <f t="shared" si="0"/>
        <v>8.3400591875168149E-3</v>
      </c>
      <c r="G17" t="s">
        <v>79</v>
      </c>
      <c r="H17" t="s">
        <v>80</v>
      </c>
      <c r="I17">
        <v>0.05</v>
      </c>
      <c r="J17">
        <f t="shared" si="2"/>
        <v>0.60000000000000009</v>
      </c>
      <c r="K17" s="23">
        <f t="shared" si="1"/>
        <v>1.1393847322445881E-2</v>
      </c>
    </row>
    <row r="18" spans="1:11" x14ac:dyDescent="0.2">
      <c r="A18" t="s">
        <v>73</v>
      </c>
      <c r="B18" t="s">
        <v>74</v>
      </c>
      <c r="C18">
        <v>1.45</v>
      </c>
      <c r="D18">
        <f>C18*12</f>
        <v>17.399999999999999</v>
      </c>
      <c r="E18" s="23">
        <f t="shared" si="0"/>
        <v>0.23405972558514929</v>
      </c>
      <c r="G18" t="s">
        <v>81</v>
      </c>
      <c r="H18" t="s">
        <v>78</v>
      </c>
      <c r="I18">
        <v>0.45</v>
      </c>
      <c r="J18">
        <f t="shared" si="2"/>
        <v>5.4</v>
      </c>
      <c r="K18" s="23">
        <f t="shared" si="1"/>
        <v>0.10254462590201292</v>
      </c>
    </row>
    <row r="19" spans="1:11" x14ac:dyDescent="0.2">
      <c r="A19" t="s">
        <v>75</v>
      </c>
      <c r="B19" t="s">
        <v>76</v>
      </c>
      <c r="C19">
        <v>0.17</v>
      </c>
      <c r="D19">
        <f t="shared" ref="D19:D30" si="3">C19*12</f>
        <v>2.04</v>
      </c>
      <c r="E19" s="23">
        <f t="shared" si="0"/>
        <v>2.7441485068603711E-2</v>
      </c>
      <c r="G19" t="s">
        <v>82</v>
      </c>
      <c r="H19" t="s">
        <v>76</v>
      </c>
      <c r="I19">
        <v>0.13</v>
      </c>
      <c r="J19">
        <f t="shared" si="2"/>
        <v>1.56</v>
      </c>
      <c r="K19" s="23">
        <f t="shared" si="1"/>
        <v>2.9624003038359287E-2</v>
      </c>
    </row>
    <row r="20" spans="1:11" x14ac:dyDescent="0.2">
      <c r="A20" t="s">
        <v>77</v>
      </c>
      <c r="B20" t="s">
        <v>78</v>
      </c>
      <c r="C20">
        <v>0.23</v>
      </c>
      <c r="D20">
        <f t="shared" si="3"/>
        <v>2.7600000000000002</v>
      </c>
      <c r="E20" s="23">
        <f t="shared" si="0"/>
        <v>3.7126715092816787E-2</v>
      </c>
      <c r="G20" t="s">
        <v>83</v>
      </c>
      <c r="H20" t="s">
        <v>74</v>
      </c>
      <c r="I20">
        <v>1.07</v>
      </c>
      <c r="J20">
        <f t="shared" si="2"/>
        <v>12.84</v>
      </c>
      <c r="K20" s="23">
        <f t="shared" si="1"/>
        <v>0.24382833270034182</v>
      </c>
    </row>
    <row r="21" spans="1:11" x14ac:dyDescent="0.2">
      <c r="A21" t="s">
        <v>79</v>
      </c>
      <c r="B21" t="s">
        <v>80</v>
      </c>
      <c r="C21">
        <v>0.05</v>
      </c>
      <c r="D21">
        <f t="shared" si="3"/>
        <v>0.60000000000000009</v>
      </c>
      <c r="E21" s="23">
        <f t="shared" si="0"/>
        <v>8.0710250201775635E-3</v>
      </c>
      <c r="G21" t="s">
        <v>84</v>
      </c>
      <c r="H21" t="s">
        <v>76</v>
      </c>
      <c r="I21">
        <v>0.17</v>
      </c>
      <c r="J21">
        <f t="shared" si="2"/>
        <v>2.04</v>
      </c>
      <c r="K21" s="23">
        <f t="shared" si="1"/>
        <v>3.8739080896315996E-2</v>
      </c>
    </row>
    <row r="22" spans="1:11" x14ac:dyDescent="0.2">
      <c r="A22" t="s">
        <v>81</v>
      </c>
      <c r="B22" t="s">
        <v>78</v>
      </c>
      <c r="C22">
        <v>0.45</v>
      </c>
      <c r="D22">
        <f t="shared" si="3"/>
        <v>5.4</v>
      </c>
      <c r="E22" s="23">
        <f t="shared" si="0"/>
        <v>7.2639225181598058E-2</v>
      </c>
      <c r="G22" t="s">
        <v>85</v>
      </c>
      <c r="H22" t="s">
        <v>76</v>
      </c>
      <c r="I22">
        <v>0.18</v>
      </c>
      <c r="J22">
        <f t="shared" si="2"/>
        <v>2.16</v>
      </c>
      <c r="K22" s="23">
        <f t="shared" si="1"/>
        <v>4.1017850360805172E-2</v>
      </c>
    </row>
    <row r="23" spans="1:11" x14ac:dyDescent="0.2">
      <c r="A23" t="s">
        <v>82</v>
      </c>
      <c r="B23" t="s">
        <v>78</v>
      </c>
      <c r="C23">
        <v>0.27</v>
      </c>
      <c r="D23">
        <f t="shared" si="3"/>
        <v>3.24</v>
      </c>
      <c r="E23" s="23">
        <f t="shared" si="0"/>
        <v>4.3583535108958842E-2</v>
      </c>
      <c r="G23" t="s">
        <v>87</v>
      </c>
      <c r="H23" t="s">
        <v>80</v>
      </c>
      <c r="I23">
        <v>0.04</v>
      </c>
      <c r="J23">
        <f t="shared" si="2"/>
        <v>0.48</v>
      </c>
      <c r="K23" s="23">
        <f t="shared" si="1"/>
        <v>9.1150778579567032E-3</v>
      </c>
    </row>
    <row r="24" spans="1:11" x14ac:dyDescent="0.2">
      <c r="A24" t="s">
        <v>83</v>
      </c>
      <c r="B24" t="s">
        <v>74</v>
      </c>
      <c r="C24">
        <v>1.07</v>
      </c>
      <c r="D24">
        <f t="shared" si="3"/>
        <v>12.84</v>
      </c>
      <c r="E24" s="23">
        <f t="shared" si="0"/>
        <v>0.17271993543179984</v>
      </c>
      <c r="G24" t="s">
        <v>88</v>
      </c>
      <c r="H24" t="s">
        <v>97</v>
      </c>
      <c r="I24">
        <v>0.63</v>
      </c>
      <c r="J24">
        <f t="shared" si="2"/>
        <v>7.5600000000000005</v>
      </c>
      <c r="K24" s="23">
        <f t="shared" si="1"/>
        <v>0.1435624762628181</v>
      </c>
    </row>
    <row r="25" spans="1:11" x14ac:dyDescent="0.2">
      <c r="A25" t="s">
        <v>84</v>
      </c>
      <c r="B25" t="s">
        <v>78</v>
      </c>
      <c r="C25">
        <v>0.34</v>
      </c>
      <c r="D25">
        <f t="shared" si="3"/>
        <v>4.08</v>
      </c>
      <c r="E25" s="23">
        <f t="shared" si="0"/>
        <v>5.4882970137207422E-2</v>
      </c>
      <c r="G25" t="s">
        <v>95</v>
      </c>
      <c r="H25" t="s">
        <v>76</v>
      </c>
      <c r="I25">
        <v>0.11</v>
      </c>
      <c r="J25">
        <f t="shared" si="2"/>
        <v>1.32</v>
      </c>
      <c r="K25" s="23">
        <f t="shared" si="1"/>
        <v>2.5066464109380938E-2</v>
      </c>
    </row>
    <row r="26" spans="1:11" x14ac:dyDescent="0.2">
      <c r="A26" t="s">
        <v>85</v>
      </c>
      <c r="B26" t="s">
        <v>86</v>
      </c>
      <c r="C26">
        <v>0.09</v>
      </c>
      <c r="D26">
        <f t="shared" si="3"/>
        <v>1.08</v>
      </c>
      <c r="E26" s="23">
        <f t="shared" si="0"/>
        <v>1.4527845036319613E-2</v>
      </c>
      <c r="G26" t="s">
        <v>90</v>
      </c>
      <c r="H26" t="s">
        <v>76</v>
      </c>
      <c r="I26">
        <v>0.08</v>
      </c>
      <c r="J26">
        <f t="shared" si="2"/>
        <v>0.96</v>
      </c>
      <c r="K26" s="23">
        <f t="shared" si="1"/>
        <v>1.8230155715913406E-2</v>
      </c>
    </row>
    <row r="27" spans="1:11" x14ac:dyDescent="0.2">
      <c r="A27" t="s">
        <v>87</v>
      </c>
      <c r="B27" t="s">
        <v>80</v>
      </c>
      <c r="C27">
        <v>0.04</v>
      </c>
      <c r="D27">
        <f t="shared" si="3"/>
        <v>0.48</v>
      </c>
      <c r="E27" s="23">
        <f t="shared" si="0"/>
        <v>6.4568200161420498E-3</v>
      </c>
      <c r="G27" t="s">
        <v>91</v>
      </c>
      <c r="H27" t="s">
        <v>86</v>
      </c>
      <c r="I27">
        <v>0.05</v>
      </c>
      <c r="J27">
        <f t="shared" si="2"/>
        <v>0.60000000000000009</v>
      </c>
      <c r="K27" s="23">
        <f t="shared" si="1"/>
        <v>1.1393847322445881E-2</v>
      </c>
    </row>
    <row r="28" spans="1:11" x14ac:dyDescent="0.2">
      <c r="A28" t="s">
        <v>88</v>
      </c>
      <c r="B28" t="s">
        <v>89</v>
      </c>
      <c r="C28">
        <v>1.26</v>
      </c>
      <c r="D28">
        <f t="shared" si="3"/>
        <v>15.120000000000001</v>
      </c>
      <c r="E28" s="23">
        <f t="shared" si="0"/>
        <v>0.20338983050847459</v>
      </c>
      <c r="I28">
        <f>SUM(I8:I27)</f>
        <v>10.64</v>
      </c>
      <c r="J28">
        <f>SUM(J8:J27)</f>
        <v>52.66</v>
      </c>
      <c r="K28" s="23">
        <f t="shared" si="1"/>
        <v>1</v>
      </c>
    </row>
    <row r="29" spans="1:11" x14ac:dyDescent="0.2">
      <c r="A29" t="s">
        <v>90</v>
      </c>
      <c r="B29" t="s">
        <v>78</v>
      </c>
      <c r="C29">
        <v>0.17</v>
      </c>
      <c r="D29">
        <f t="shared" si="3"/>
        <v>2.04</v>
      </c>
      <c r="E29" s="23">
        <f t="shared" si="0"/>
        <v>2.7441485068603711E-2</v>
      </c>
      <c r="K29" s="23"/>
    </row>
    <row r="30" spans="1:11" x14ac:dyDescent="0.2">
      <c r="A30" t="s">
        <v>91</v>
      </c>
      <c r="B30" t="s">
        <v>76</v>
      </c>
      <c r="C30">
        <v>0.1</v>
      </c>
      <c r="D30">
        <f t="shared" si="3"/>
        <v>1.2000000000000002</v>
      </c>
      <c r="E30" s="23">
        <f t="shared" si="0"/>
        <v>1.6142050040355127E-2</v>
      </c>
    </row>
    <row r="31" spans="1:11" x14ac:dyDescent="0.2">
      <c r="C31">
        <f>SUM(C11:C30)</f>
        <v>11.2</v>
      </c>
      <c r="D31">
        <f>SUM(D11:D30)</f>
        <v>74.34</v>
      </c>
      <c r="E31" s="23">
        <f t="shared" si="0"/>
        <v>1</v>
      </c>
    </row>
    <row r="51" spans="1:2" x14ac:dyDescent="0.2">
      <c r="A51" s="24" t="s">
        <v>98</v>
      </c>
    </row>
    <row r="52" spans="1:2" x14ac:dyDescent="0.2">
      <c r="A52" t="s">
        <v>102</v>
      </c>
    </row>
    <row r="53" spans="1:2" x14ac:dyDescent="0.2">
      <c r="A53" t="s">
        <v>99</v>
      </c>
    </row>
    <row r="54" spans="1:2" x14ac:dyDescent="0.2">
      <c r="A54" t="s">
        <v>100</v>
      </c>
    </row>
    <row r="55" spans="1:2" x14ac:dyDescent="0.2">
      <c r="A55" t="s">
        <v>101</v>
      </c>
    </row>
    <row r="56" spans="1:2" x14ac:dyDescent="0.2">
      <c r="A56" t="s">
        <v>103</v>
      </c>
    </row>
    <row r="57" spans="1:2" ht="16" customHeight="1" x14ac:dyDescent="0.2">
      <c r="A57" s="25" t="s">
        <v>104</v>
      </c>
      <c r="B57" s="25"/>
    </row>
    <row r="58" spans="1:2" x14ac:dyDescent="0.2">
      <c r="A58" s="25"/>
      <c r="B58" s="25"/>
    </row>
    <row r="59" spans="1:2" x14ac:dyDescent="0.2">
      <c r="A59" s="25"/>
      <c r="B59" s="25"/>
    </row>
    <row r="60" spans="1:2" ht="16" customHeight="1" x14ac:dyDescent="0.2">
      <c r="A60" s="25" t="s">
        <v>105</v>
      </c>
      <c r="B60" s="25"/>
    </row>
    <row r="61" spans="1:2" x14ac:dyDescent="0.2">
      <c r="A61" s="25"/>
      <c r="B61" s="25"/>
    </row>
    <row r="63" spans="1:2" x14ac:dyDescent="0.2">
      <c r="A63" s="24" t="s">
        <v>111</v>
      </c>
    </row>
    <row r="64" spans="1:2" x14ac:dyDescent="0.2">
      <c r="A64" t="s">
        <v>107</v>
      </c>
      <c r="B64" t="s">
        <v>108</v>
      </c>
    </row>
    <row r="65" spans="1:2" x14ac:dyDescent="0.2">
      <c r="A65" s="26"/>
    </row>
    <row r="66" spans="1:2" x14ac:dyDescent="0.2">
      <c r="A66" s="24" t="s">
        <v>109</v>
      </c>
    </row>
    <row r="67" spans="1:2" x14ac:dyDescent="0.2">
      <c r="A67" t="s">
        <v>114</v>
      </c>
      <c r="B67" t="s">
        <v>115</v>
      </c>
    </row>
    <row r="69" spans="1:2" x14ac:dyDescent="0.2">
      <c r="A69" s="24" t="s">
        <v>110</v>
      </c>
    </row>
    <row r="70" spans="1:2" x14ac:dyDescent="0.2">
      <c r="A70" t="s">
        <v>116</v>
      </c>
      <c r="B70" t="s">
        <v>117</v>
      </c>
    </row>
  </sheetData>
  <mergeCells count="2">
    <mergeCell ref="A57:B59"/>
    <mergeCell ref="A60:B61"/>
  </mergeCells>
  <phoneticPr fontId="4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1:AH183"/>
  <sheetViews>
    <sheetView topLeftCell="J41" zoomScale="83" workbookViewId="0">
      <selection activeCell="Q6" sqref="Q6"/>
    </sheetView>
  </sheetViews>
  <sheetFormatPr baseColWidth="10" defaultRowHeight="16" outlineLevelCol="1" x14ac:dyDescent="0.2"/>
  <cols>
    <col min="1" max="1" width="10.83203125" hidden="1" customWidth="1" outlineLevel="1"/>
    <col min="2" max="2" width="13" hidden="1" customWidth="1" outlineLevel="1"/>
    <col min="3" max="3" width="25.33203125" hidden="1" customWidth="1" outlineLevel="1"/>
    <col min="4" max="4" width="25.5" hidden="1" customWidth="1" outlineLevel="1"/>
    <col min="5" max="5" width="27.5" hidden="1" customWidth="1" outlineLevel="1"/>
    <col min="6" max="6" width="20.83203125" hidden="1" customWidth="1" outlineLevel="1"/>
    <col min="7" max="8" width="8.83203125" hidden="1" customWidth="1" outlineLevel="1"/>
    <col min="9" max="9" width="14.5" hidden="1" customWidth="1" outlineLevel="1"/>
    <col min="10" max="10" width="14.5" customWidth="1" collapsed="1"/>
    <col min="11" max="11" width="14.5" customWidth="1"/>
    <col min="12" max="12" width="21.33203125" bestFit="1" customWidth="1"/>
    <col min="13" max="13" width="25.33203125" bestFit="1" customWidth="1"/>
    <col min="15" max="15" width="25.5" bestFit="1" customWidth="1"/>
    <col min="17" max="17" width="19.5" bestFit="1" customWidth="1"/>
    <col min="19" max="19" width="19.5" bestFit="1" customWidth="1"/>
    <col min="21" max="21" width="19.5" bestFit="1" customWidth="1"/>
  </cols>
  <sheetData>
    <row r="11" spans="2:34" x14ac:dyDescent="0.2">
      <c r="B11" t="s">
        <v>39</v>
      </c>
      <c r="C11" t="s">
        <v>41</v>
      </c>
      <c r="D11" t="s">
        <v>12</v>
      </c>
      <c r="E11" t="s">
        <v>14</v>
      </c>
      <c r="F11" t="s">
        <v>16</v>
      </c>
      <c r="G11" t="s">
        <v>35</v>
      </c>
      <c r="H11" t="s">
        <v>17</v>
      </c>
      <c r="L11" s="4" t="s">
        <v>38</v>
      </c>
      <c r="M11" s="4" t="s">
        <v>40</v>
      </c>
      <c r="N11" s="4" t="s">
        <v>15</v>
      </c>
      <c r="O11" s="4" t="s">
        <v>11</v>
      </c>
      <c r="P11" s="3" t="s">
        <v>20</v>
      </c>
      <c r="Q11" s="3" t="s">
        <v>45</v>
      </c>
      <c r="R11" s="3" t="s">
        <v>18</v>
      </c>
      <c r="S11" s="3" t="s">
        <v>45</v>
      </c>
      <c r="T11" s="3" t="s">
        <v>22</v>
      </c>
      <c r="U11" s="3" t="s">
        <v>45</v>
      </c>
      <c r="AA11" s="21" t="s">
        <v>38</v>
      </c>
      <c r="AB11" s="21" t="s">
        <v>40</v>
      </c>
      <c r="AC11" s="21" t="s">
        <v>20</v>
      </c>
      <c r="AD11" s="21" t="s">
        <v>18</v>
      </c>
      <c r="AE11" s="21"/>
      <c r="AF11" s="21"/>
      <c r="AG11" s="21"/>
      <c r="AH11" s="21"/>
    </row>
    <row r="12" spans="2:34" x14ac:dyDescent="0.2">
      <c r="B12" t="s">
        <v>8</v>
      </c>
      <c r="C12" t="s">
        <v>43</v>
      </c>
      <c r="D12" t="s">
        <v>1</v>
      </c>
      <c r="E12" t="s">
        <v>19</v>
      </c>
      <c r="F12" t="s">
        <v>24</v>
      </c>
      <c r="G12" s="1">
        <v>2076</v>
      </c>
      <c r="H12" s="1">
        <v>3636</v>
      </c>
      <c r="L12" s="5" t="s">
        <v>36</v>
      </c>
      <c r="M12" s="7" t="s">
        <v>36</v>
      </c>
      <c r="N12" s="12" t="s">
        <v>24</v>
      </c>
      <c r="O12" s="12" t="s">
        <v>1</v>
      </c>
      <c r="P12" s="13">
        <v>49830</v>
      </c>
      <c r="Q12" s="14">
        <f>P12/P12</f>
        <v>1</v>
      </c>
      <c r="R12" s="13">
        <v>9491</v>
      </c>
      <c r="S12" s="14">
        <f>R12/R12</f>
        <v>1</v>
      </c>
      <c r="T12" s="13">
        <v>59321</v>
      </c>
      <c r="U12" s="14">
        <f>T12/T12</f>
        <v>1</v>
      </c>
      <c r="AA12" s="21" t="s">
        <v>36</v>
      </c>
      <c r="AB12" s="21" t="s">
        <v>36</v>
      </c>
      <c r="AC12" s="21">
        <v>49830</v>
      </c>
      <c r="AD12" s="21">
        <v>9491</v>
      </c>
      <c r="AE12" s="21"/>
      <c r="AF12" s="21"/>
      <c r="AG12" s="21"/>
      <c r="AH12" s="21"/>
    </row>
    <row r="13" spans="2:34" x14ac:dyDescent="0.2">
      <c r="B13" t="s">
        <v>8</v>
      </c>
      <c r="C13" t="s">
        <v>43</v>
      </c>
      <c r="D13" t="s">
        <v>1</v>
      </c>
      <c r="E13" t="s">
        <v>21</v>
      </c>
      <c r="F13" t="s">
        <v>24</v>
      </c>
      <c r="G13" s="1">
        <v>2076</v>
      </c>
      <c r="H13" s="1">
        <v>18262</v>
      </c>
      <c r="L13" s="8"/>
      <c r="M13" s="7"/>
      <c r="N13" s="10" t="s">
        <v>26</v>
      </c>
      <c r="O13" s="10" t="s">
        <v>2</v>
      </c>
      <c r="P13" s="11">
        <v>12.8262</v>
      </c>
      <c r="Q13" s="15">
        <f>P13/SUM(P13:P14)</f>
        <v>0.49791149068322987</v>
      </c>
      <c r="R13" s="11">
        <v>2.8342999999999998</v>
      </c>
      <c r="S13" s="15">
        <f>R13/SUM(R13:R14)</f>
        <v>0.49841733197341109</v>
      </c>
      <c r="T13" s="11">
        <v>15.660499999999999</v>
      </c>
      <c r="U13" s="15">
        <f>T13/SUM(T13:T14)</f>
        <v>0.49800296375442815</v>
      </c>
      <c r="AA13" s="21"/>
      <c r="AB13" s="21" t="s">
        <v>0</v>
      </c>
      <c r="AC13" s="21">
        <v>84</v>
      </c>
      <c r="AD13" s="21">
        <v>17</v>
      </c>
      <c r="AE13" s="21"/>
      <c r="AF13" s="21"/>
      <c r="AG13" s="21"/>
      <c r="AH13" s="21"/>
    </row>
    <row r="14" spans="2:34" x14ac:dyDescent="0.2">
      <c r="B14" t="s">
        <v>8</v>
      </c>
      <c r="C14" t="s">
        <v>43</v>
      </c>
      <c r="D14" t="s">
        <v>1</v>
      </c>
      <c r="E14" t="s">
        <v>23</v>
      </c>
      <c r="F14" t="s">
        <v>24</v>
      </c>
      <c r="G14" s="1">
        <v>2076</v>
      </c>
      <c r="H14" s="1">
        <v>21898</v>
      </c>
      <c r="L14" s="8"/>
      <c r="M14" s="7"/>
      <c r="N14" s="10"/>
      <c r="O14" s="10" t="s">
        <v>3</v>
      </c>
      <c r="P14" s="11">
        <v>12.9338</v>
      </c>
      <c r="Q14" s="15">
        <f>P14/SUM(P13:P14)</f>
        <v>0.50208850931677018</v>
      </c>
      <c r="R14" s="11">
        <v>2.8523000000000001</v>
      </c>
      <c r="S14" s="15">
        <f>R14/SUM(R13:R14)</f>
        <v>0.5015826680265888</v>
      </c>
      <c r="T14" s="11">
        <v>15.786099999999999</v>
      </c>
      <c r="U14" s="15">
        <f>T14/SUM(T13:T14)</f>
        <v>0.5019970362455719</v>
      </c>
      <c r="AA14" s="21" t="s">
        <v>37</v>
      </c>
      <c r="AB14" s="21" t="s">
        <v>37</v>
      </c>
      <c r="AC14" s="21">
        <v>350</v>
      </c>
      <c r="AD14" s="21">
        <v>31</v>
      </c>
      <c r="AE14" s="21"/>
      <c r="AF14" s="21"/>
      <c r="AG14" s="21"/>
      <c r="AH14" s="21"/>
    </row>
    <row r="15" spans="2:34" x14ac:dyDescent="0.2">
      <c r="B15" t="s">
        <v>8</v>
      </c>
      <c r="C15" t="s">
        <v>43</v>
      </c>
      <c r="D15" t="s">
        <v>25</v>
      </c>
      <c r="E15" t="s">
        <v>19</v>
      </c>
      <c r="F15" t="s">
        <v>27</v>
      </c>
      <c r="G15" s="1">
        <v>2076</v>
      </c>
      <c r="H15" s="1">
        <v>0.3</v>
      </c>
      <c r="L15" s="8"/>
      <c r="M15" s="7"/>
      <c r="N15" s="12" t="s">
        <v>31</v>
      </c>
      <c r="O15" s="12" t="s">
        <v>4</v>
      </c>
      <c r="P15" s="13">
        <v>48.404000000000003</v>
      </c>
      <c r="Q15" s="14">
        <f>P15/SUM(P15:P18)</f>
        <v>0.89287460096046201</v>
      </c>
      <c r="R15" s="13">
        <v>6.8959999999999999</v>
      </c>
      <c r="S15" s="14">
        <f>R15/SUM(R15:R18)</f>
        <v>0.40184138453470075</v>
      </c>
      <c r="T15" s="13">
        <v>55.300000000000004</v>
      </c>
      <c r="U15" s="14">
        <f>T15/SUM(T15:T18)</f>
        <v>0.77480909292412947</v>
      </c>
      <c r="AA15" s="21"/>
      <c r="AB15" s="21" t="s">
        <v>0</v>
      </c>
      <c r="AC15" s="21">
        <v>71</v>
      </c>
      <c r="AD15" s="21">
        <v>14</v>
      </c>
      <c r="AE15" s="21"/>
      <c r="AF15" s="21"/>
      <c r="AG15" s="21"/>
      <c r="AH15" s="21"/>
    </row>
    <row r="16" spans="2:34" x14ac:dyDescent="0.2">
      <c r="B16" t="s">
        <v>8</v>
      </c>
      <c r="C16" t="s">
        <v>43</v>
      </c>
      <c r="D16" t="s">
        <v>25</v>
      </c>
      <c r="E16" t="s">
        <v>21</v>
      </c>
      <c r="F16" t="s">
        <v>27</v>
      </c>
      <c r="G16" s="1">
        <v>2076</v>
      </c>
      <c r="H16" s="1">
        <v>1.35</v>
      </c>
      <c r="L16" s="8"/>
      <c r="M16" s="7"/>
      <c r="N16" s="12"/>
      <c r="O16" s="12" t="s">
        <v>5</v>
      </c>
      <c r="P16" s="13">
        <v>1.986</v>
      </c>
      <c r="Q16" s="14">
        <f>P16/SUM(P15:P18)</f>
        <v>3.6634347523086468E-2</v>
      </c>
      <c r="R16" s="13">
        <v>4.4648000000000003</v>
      </c>
      <c r="S16" s="14">
        <f>R16/SUM(R15:R18)</f>
        <v>0.26017131868772214</v>
      </c>
      <c r="T16" s="13">
        <v>6.4508000000000001</v>
      </c>
      <c r="U16" s="14">
        <f>T16/SUM(T15:T18)</f>
        <v>9.0382251295388322E-2</v>
      </c>
      <c r="AA16" s="21" t="s">
        <v>9</v>
      </c>
      <c r="AB16" s="21" t="s">
        <v>42</v>
      </c>
      <c r="AC16" s="21">
        <v>3329</v>
      </c>
      <c r="AD16" s="21">
        <v>8124</v>
      </c>
      <c r="AE16" s="21"/>
      <c r="AF16" s="21"/>
      <c r="AG16" s="21"/>
      <c r="AH16" s="21"/>
    </row>
    <row r="17" spans="2:34" x14ac:dyDescent="0.2">
      <c r="B17" t="s">
        <v>8</v>
      </c>
      <c r="C17" t="s">
        <v>43</v>
      </c>
      <c r="D17" t="s">
        <v>25</v>
      </c>
      <c r="E17" t="s">
        <v>23</v>
      </c>
      <c r="F17" t="s">
        <v>27</v>
      </c>
      <c r="G17" s="1">
        <v>2076</v>
      </c>
      <c r="H17" s="1">
        <v>1.65</v>
      </c>
      <c r="L17" s="8"/>
      <c r="M17" s="7"/>
      <c r="N17" s="12"/>
      <c r="O17" s="12" t="s">
        <v>7</v>
      </c>
      <c r="P17" s="13">
        <v>0.40451999999999999</v>
      </c>
      <c r="Q17" s="14">
        <f>P17/SUM(P15:P18)</f>
        <v>7.4618964048534424E-3</v>
      </c>
      <c r="R17" s="13">
        <v>0.2641</v>
      </c>
      <c r="S17" s="14">
        <f>R17/SUM(R15:R18)</f>
        <v>1.5389546063749197E-2</v>
      </c>
      <c r="T17" s="13">
        <v>0.66861999999999999</v>
      </c>
      <c r="U17" s="14">
        <f>T17/SUM(T15:T18)</f>
        <v>9.3680444070692852E-3</v>
      </c>
      <c r="AA17" s="21" t="s">
        <v>0</v>
      </c>
      <c r="AB17" s="21" t="s">
        <v>42</v>
      </c>
      <c r="AC17" s="21">
        <v>18262</v>
      </c>
      <c r="AD17" s="21">
        <v>3636</v>
      </c>
      <c r="AE17" s="21"/>
      <c r="AF17" s="21"/>
      <c r="AG17" s="21"/>
      <c r="AH17" s="21"/>
    </row>
    <row r="18" spans="2:34" x14ac:dyDescent="0.2">
      <c r="B18" t="s">
        <v>8</v>
      </c>
      <c r="C18" t="s">
        <v>43</v>
      </c>
      <c r="D18" t="s">
        <v>29</v>
      </c>
      <c r="E18" t="s">
        <v>19</v>
      </c>
      <c r="F18" t="s">
        <v>27</v>
      </c>
      <c r="G18" s="1">
        <v>2076</v>
      </c>
      <c r="H18" s="1">
        <v>0.28999999999999998</v>
      </c>
      <c r="L18" s="8"/>
      <c r="M18" s="9"/>
      <c r="N18" s="12"/>
      <c r="O18" s="12" t="s">
        <v>6</v>
      </c>
      <c r="P18" s="13">
        <v>3.4169</v>
      </c>
      <c r="Q18" s="14">
        <f>P18/SUM(P15:P18)</f>
        <v>6.3029155111598262E-2</v>
      </c>
      <c r="R18" s="13">
        <v>5.5361000000000002</v>
      </c>
      <c r="S18" s="14">
        <f>R18/SUM(R15:R18)</f>
        <v>0.32259775071382785</v>
      </c>
      <c r="T18" s="13">
        <v>8.9529999999999994</v>
      </c>
      <c r="U18" s="14">
        <f>T18/SUM(T15:T18)</f>
        <v>0.12544061137341284</v>
      </c>
      <c r="AA18" s="21"/>
      <c r="AB18" s="21"/>
      <c r="AC18" s="21"/>
      <c r="AD18" s="21"/>
      <c r="AE18" s="21"/>
      <c r="AF18" s="21"/>
      <c r="AG18" s="21"/>
      <c r="AH18" s="21"/>
    </row>
    <row r="19" spans="2:34" x14ac:dyDescent="0.2">
      <c r="B19" t="s">
        <v>8</v>
      </c>
      <c r="C19" t="s">
        <v>43</v>
      </c>
      <c r="D19" t="s">
        <v>29</v>
      </c>
      <c r="E19" t="s">
        <v>21</v>
      </c>
      <c r="F19" t="s">
        <v>27</v>
      </c>
      <c r="G19" s="1">
        <v>2076</v>
      </c>
      <c r="H19" s="1">
        <v>1.33</v>
      </c>
      <c r="L19" s="8"/>
      <c r="M19" s="7" t="s">
        <v>0</v>
      </c>
      <c r="N19" s="10" t="s">
        <v>24</v>
      </c>
      <c r="O19" s="10" t="s">
        <v>1</v>
      </c>
      <c r="P19" s="11">
        <v>84</v>
      </c>
      <c r="Q19" s="15">
        <f>P19/P19</f>
        <v>1</v>
      </c>
      <c r="R19" s="11">
        <v>17</v>
      </c>
      <c r="S19" s="15">
        <f>R19/R19</f>
        <v>1</v>
      </c>
      <c r="T19" s="11">
        <v>101</v>
      </c>
      <c r="U19" s="15">
        <f>T19/T19</f>
        <v>1</v>
      </c>
      <c r="AA19" s="21" t="s">
        <v>38</v>
      </c>
      <c r="AB19" s="21" t="s">
        <v>40</v>
      </c>
      <c r="AC19" s="21" t="s">
        <v>20</v>
      </c>
      <c r="AD19" s="21" t="s">
        <v>18</v>
      </c>
      <c r="AE19" s="21"/>
      <c r="AF19" s="21"/>
      <c r="AG19" s="21"/>
      <c r="AH19" s="21"/>
    </row>
    <row r="20" spans="2:34" x14ac:dyDescent="0.2">
      <c r="B20" t="s">
        <v>8</v>
      </c>
      <c r="C20" t="s">
        <v>43</v>
      </c>
      <c r="D20" t="s">
        <v>29</v>
      </c>
      <c r="E20" t="s">
        <v>23</v>
      </c>
      <c r="F20" t="s">
        <v>27</v>
      </c>
      <c r="G20" s="1">
        <v>2076</v>
      </c>
      <c r="H20" s="1">
        <v>1.62</v>
      </c>
      <c r="L20" s="8"/>
      <c r="M20" s="7"/>
      <c r="N20" s="12" t="s">
        <v>26</v>
      </c>
      <c r="O20" s="12" t="s">
        <v>2</v>
      </c>
      <c r="P20" s="13">
        <v>2.2100000000000002E-2</v>
      </c>
      <c r="Q20" s="14">
        <f>P20/SUM(P20:P21)</f>
        <v>0.49662921348314615</v>
      </c>
      <c r="R20" s="13">
        <v>4.7999999999999996E-3</v>
      </c>
      <c r="S20" s="14">
        <f>R20/SUM(R20:R21)</f>
        <v>0.48979591836734693</v>
      </c>
      <c r="T20" s="13">
        <v>2.69E-2</v>
      </c>
      <c r="U20" s="14">
        <f>T20/SUM(T20:T21)</f>
        <v>0.49539594843462248</v>
      </c>
      <c r="AA20" s="21" t="s">
        <v>36</v>
      </c>
      <c r="AB20" s="21" t="s">
        <v>36</v>
      </c>
      <c r="AC20" s="22">
        <v>12.9338</v>
      </c>
      <c r="AD20" s="22">
        <v>2.8523000000000001</v>
      </c>
      <c r="AE20" s="21"/>
      <c r="AF20" s="21"/>
      <c r="AG20" s="21"/>
      <c r="AH20" s="21"/>
    </row>
    <row r="21" spans="2:34" x14ac:dyDescent="0.2">
      <c r="B21" t="s">
        <v>8</v>
      </c>
      <c r="C21" t="s">
        <v>43</v>
      </c>
      <c r="D21" t="s">
        <v>30</v>
      </c>
      <c r="E21" t="s">
        <v>19</v>
      </c>
      <c r="F21" t="s">
        <v>31</v>
      </c>
      <c r="G21" s="1">
        <v>2076</v>
      </c>
      <c r="H21" s="1">
        <v>0.71</v>
      </c>
      <c r="L21" s="8"/>
      <c r="M21" s="7"/>
      <c r="N21" s="12"/>
      <c r="O21" s="12" t="s">
        <v>3</v>
      </c>
      <c r="P21" s="13">
        <v>2.24E-2</v>
      </c>
      <c r="Q21" s="14">
        <f>P21/SUM(P20:P21)</f>
        <v>0.50337078651685396</v>
      </c>
      <c r="R21" s="13">
        <v>5.0000000000000001E-3</v>
      </c>
      <c r="S21" s="14">
        <f>R21/SUM(R20:R21)</f>
        <v>0.51020408163265307</v>
      </c>
      <c r="T21" s="13">
        <v>2.7400000000000001E-2</v>
      </c>
      <c r="U21" s="14">
        <f>T21/SUM(T20:T21)</f>
        <v>0.50460405156537758</v>
      </c>
      <c r="AA21" s="21"/>
      <c r="AB21" s="21" t="s">
        <v>0</v>
      </c>
      <c r="AC21" s="22">
        <v>2.24E-2</v>
      </c>
      <c r="AD21" s="22">
        <v>5.0000000000000001E-3</v>
      </c>
      <c r="AE21" s="21"/>
      <c r="AF21" s="21"/>
      <c r="AG21" s="21"/>
      <c r="AH21" s="21"/>
    </row>
    <row r="22" spans="2:34" x14ac:dyDescent="0.2">
      <c r="B22" t="s">
        <v>8</v>
      </c>
      <c r="C22" t="s">
        <v>43</v>
      </c>
      <c r="D22" t="s">
        <v>30</v>
      </c>
      <c r="E22" t="s">
        <v>21</v>
      </c>
      <c r="F22" t="s">
        <v>31</v>
      </c>
      <c r="G22" s="1">
        <v>2076</v>
      </c>
      <c r="H22" s="1">
        <v>11.23</v>
      </c>
      <c r="L22" s="8"/>
      <c r="M22" s="7"/>
      <c r="N22" s="10" t="s">
        <v>31</v>
      </c>
      <c r="O22" s="10" t="s">
        <v>4</v>
      </c>
      <c r="P22" s="11">
        <v>6.2E-2</v>
      </c>
      <c r="Q22" s="15">
        <f>P22/SUM(P22:P25)</f>
        <v>0.95767686129131901</v>
      </c>
      <c r="R22" s="11">
        <v>1.2E-2</v>
      </c>
      <c r="S22" s="15">
        <f>R22/SUM(R22:R25)</f>
        <v>0.40913740197749748</v>
      </c>
      <c r="T22" s="11">
        <v>7.3999999999999996E-2</v>
      </c>
      <c r="U22" s="15">
        <f>T22/SUM(T22:T25)</f>
        <v>0.78664824067184014</v>
      </c>
      <c r="AA22" s="21" t="s">
        <v>37</v>
      </c>
      <c r="AB22" s="21" t="s">
        <v>37</v>
      </c>
      <c r="AC22" s="22">
        <v>9.7900000000000001E-2</v>
      </c>
      <c r="AD22" s="22">
        <v>8.3000000000000001E-3</v>
      </c>
      <c r="AE22" s="21"/>
      <c r="AF22" s="21"/>
      <c r="AG22" s="21"/>
      <c r="AH22" s="21"/>
    </row>
    <row r="23" spans="2:34" x14ac:dyDescent="0.2">
      <c r="B23" t="s">
        <v>8</v>
      </c>
      <c r="C23" t="s">
        <v>43</v>
      </c>
      <c r="D23" t="s">
        <v>30</v>
      </c>
      <c r="E23" t="s">
        <v>23</v>
      </c>
      <c r="F23" t="s">
        <v>31</v>
      </c>
      <c r="G23" s="1">
        <v>2076</v>
      </c>
      <c r="H23" s="1">
        <v>11.940000000000001</v>
      </c>
      <c r="L23" s="8"/>
      <c r="M23" s="7"/>
      <c r="N23" s="10"/>
      <c r="O23" s="10" t="s">
        <v>5</v>
      </c>
      <c r="P23" s="11">
        <v>1E-3</v>
      </c>
      <c r="Q23" s="15">
        <f>P23/SUM(P22:P25)</f>
        <v>1.5446400988569663E-2</v>
      </c>
      <c r="R23" s="11">
        <v>7.4999999999999997E-3</v>
      </c>
      <c r="S23" s="15">
        <f>R23/SUM(R22:R25)</f>
        <v>0.25571087623593591</v>
      </c>
      <c r="T23" s="11">
        <v>8.5000000000000006E-3</v>
      </c>
      <c r="U23" s="15">
        <f>T23/SUM(T22:T25)</f>
        <v>9.0358243860954632E-2</v>
      </c>
      <c r="AA23" s="21"/>
      <c r="AB23" s="21" t="s">
        <v>0</v>
      </c>
      <c r="AC23" s="22">
        <v>1.9E-2</v>
      </c>
      <c r="AD23" s="22">
        <v>4.1999999999999997E-3</v>
      </c>
      <c r="AE23" s="21"/>
      <c r="AF23" s="21"/>
      <c r="AG23" s="21"/>
      <c r="AH23" s="21"/>
    </row>
    <row r="24" spans="2:34" x14ac:dyDescent="0.2">
      <c r="B24" t="s">
        <v>8</v>
      </c>
      <c r="C24" t="s">
        <v>43</v>
      </c>
      <c r="D24" t="s">
        <v>32</v>
      </c>
      <c r="E24" t="s">
        <v>19</v>
      </c>
      <c r="F24" t="s">
        <v>31</v>
      </c>
      <c r="G24" s="1">
        <v>2076</v>
      </c>
      <c r="H24" s="1">
        <v>0.45</v>
      </c>
      <c r="L24" s="8"/>
      <c r="M24" s="7"/>
      <c r="N24" s="10"/>
      <c r="O24" s="10" t="s">
        <v>7</v>
      </c>
      <c r="P24" s="11">
        <v>1.0399999999999999E-3</v>
      </c>
      <c r="Q24" s="15">
        <f>P24/SUM(P22:P25)</f>
        <v>1.6064257028112448E-2</v>
      </c>
      <c r="R24" s="11">
        <v>4.4999999999999999E-4</v>
      </c>
      <c r="S24" s="15">
        <f>R24/SUM(R22:R25)</f>
        <v>1.5342652574156155E-2</v>
      </c>
      <c r="T24" s="11">
        <v>1.49E-3</v>
      </c>
      <c r="U24" s="15">
        <f>T24/SUM(T22:T25)</f>
        <v>1.5839268629743809E-2</v>
      </c>
      <c r="AA24" s="21" t="s">
        <v>9</v>
      </c>
      <c r="AB24" s="21" t="s">
        <v>42</v>
      </c>
      <c r="AC24" s="22">
        <v>8.1000000000000003E-2</v>
      </c>
      <c r="AD24" s="22">
        <v>0.75700000000000001</v>
      </c>
      <c r="AE24" s="21"/>
      <c r="AF24" s="21"/>
      <c r="AG24" s="21"/>
      <c r="AH24" s="21"/>
    </row>
    <row r="25" spans="2:34" x14ac:dyDescent="0.2">
      <c r="B25" t="s">
        <v>8</v>
      </c>
      <c r="C25" t="s">
        <v>43</v>
      </c>
      <c r="D25" t="s">
        <v>32</v>
      </c>
      <c r="E25" t="s">
        <v>21</v>
      </c>
      <c r="F25" t="s">
        <v>31</v>
      </c>
      <c r="G25" s="1">
        <v>2076</v>
      </c>
      <c r="H25" s="1">
        <v>0.4</v>
      </c>
      <c r="L25" s="6"/>
      <c r="M25" s="9"/>
      <c r="N25" s="10"/>
      <c r="O25" s="10" t="s">
        <v>6</v>
      </c>
      <c r="P25" s="11">
        <v>6.9999999999999999E-4</v>
      </c>
      <c r="Q25" s="15">
        <f>P25/SUM(P22:P25)</f>
        <v>1.0812480691998763E-2</v>
      </c>
      <c r="R25" s="11">
        <v>9.3799999999999994E-3</v>
      </c>
      <c r="S25" s="15">
        <f>R25/SUM(R22:R25)</f>
        <v>0.31980906921241048</v>
      </c>
      <c r="T25" s="11">
        <v>1.0079999999999999E-2</v>
      </c>
      <c r="U25" s="15">
        <f>T25/SUM(T22:T25)</f>
        <v>0.10715424683746147</v>
      </c>
      <c r="AA25" s="21" t="s">
        <v>0</v>
      </c>
      <c r="AB25" s="21" t="s">
        <v>42</v>
      </c>
      <c r="AC25" s="22">
        <v>1.35</v>
      </c>
      <c r="AD25" s="22">
        <v>0.3</v>
      </c>
      <c r="AE25" s="21"/>
      <c r="AF25" s="21"/>
      <c r="AG25" s="21"/>
      <c r="AH25" s="21"/>
    </row>
    <row r="26" spans="2:34" x14ac:dyDescent="0.2">
      <c r="B26" t="s">
        <v>8</v>
      </c>
      <c r="C26" t="s">
        <v>43</v>
      </c>
      <c r="D26" t="s">
        <v>32</v>
      </c>
      <c r="E26" t="s">
        <v>23</v>
      </c>
      <c r="F26" t="s">
        <v>31</v>
      </c>
      <c r="G26" s="1">
        <v>2076</v>
      </c>
      <c r="H26" s="1">
        <v>0.85000000000000009</v>
      </c>
      <c r="L26" s="5" t="s">
        <v>37</v>
      </c>
      <c r="M26" s="7" t="s">
        <v>37</v>
      </c>
      <c r="N26" s="12" t="s">
        <v>24</v>
      </c>
      <c r="O26" s="12" t="s">
        <v>1</v>
      </c>
      <c r="P26" s="13">
        <v>350</v>
      </c>
      <c r="Q26" s="14">
        <f>P26/P26</f>
        <v>1</v>
      </c>
      <c r="R26" s="13">
        <v>31</v>
      </c>
      <c r="S26" s="14">
        <f>R26/R26</f>
        <v>1</v>
      </c>
      <c r="T26" s="13">
        <v>381</v>
      </c>
      <c r="U26" s="14">
        <f>T26/T26</f>
        <v>1</v>
      </c>
      <c r="AA26" s="21"/>
      <c r="AB26" s="21"/>
      <c r="AC26" s="21"/>
      <c r="AD26" s="21"/>
      <c r="AE26" s="21"/>
      <c r="AF26" s="21"/>
      <c r="AG26" s="21"/>
      <c r="AH26" s="21"/>
    </row>
    <row r="27" spans="2:34" x14ac:dyDescent="0.2">
      <c r="B27" t="s">
        <v>8</v>
      </c>
      <c r="C27" t="s">
        <v>43</v>
      </c>
      <c r="D27" t="s">
        <v>33</v>
      </c>
      <c r="E27" t="s">
        <v>19</v>
      </c>
      <c r="F27" t="s">
        <v>31</v>
      </c>
      <c r="G27" s="1">
        <v>2076</v>
      </c>
      <c r="H27" s="1">
        <v>0.56499999999999995</v>
      </c>
      <c r="L27" s="8"/>
      <c r="M27" s="7"/>
      <c r="N27" s="10" t="s">
        <v>26</v>
      </c>
      <c r="O27" s="10" t="s">
        <v>2</v>
      </c>
      <c r="P27" s="11">
        <v>9.7600000000000006E-2</v>
      </c>
      <c r="Q27" s="15">
        <f>P27/SUM(P27:P28)</f>
        <v>0.49923273657289002</v>
      </c>
      <c r="R27" s="11">
        <v>8.3000000000000001E-3</v>
      </c>
      <c r="S27" s="15">
        <f>R27/SUM(R27:R28)</f>
        <v>0.5</v>
      </c>
      <c r="T27" s="11">
        <v>0.10590000000000001</v>
      </c>
      <c r="U27" s="15">
        <f>T27/SUM(T27:T28)</f>
        <v>0.49929278642149932</v>
      </c>
      <c r="AA27" s="21" t="s">
        <v>38</v>
      </c>
      <c r="AB27" s="21" t="s">
        <v>40</v>
      </c>
      <c r="AC27" s="21" t="s">
        <v>20</v>
      </c>
      <c r="AD27" s="21" t="s">
        <v>18</v>
      </c>
      <c r="AE27" s="21"/>
      <c r="AF27" s="21"/>
      <c r="AG27" s="21"/>
      <c r="AH27" s="21"/>
    </row>
    <row r="28" spans="2:34" x14ac:dyDescent="0.2">
      <c r="B28" t="s">
        <v>8</v>
      </c>
      <c r="C28" t="s">
        <v>43</v>
      </c>
      <c r="D28" t="s">
        <v>33</v>
      </c>
      <c r="E28" t="s">
        <v>21</v>
      </c>
      <c r="F28" t="s">
        <v>31</v>
      </c>
      <c r="G28" s="1">
        <v>2076</v>
      </c>
      <c r="H28" s="1">
        <v>7.5999999999999998E-2</v>
      </c>
      <c r="L28" s="8"/>
      <c r="M28" s="7"/>
      <c r="N28" s="10"/>
      <c r="O28" s="10" t="s">
        <v>3</v>
      </c>
      <c r="P28" s="11">
        <v>9.7900000000000001E-2</v>
      </c>
      <c r="Q28" s="15">
        <f>P28/SUM(P27:P28)</f>
        <v>0.50076726342710998</v>
      </c>
      <c r="R28" s="11">
        <v>8.3000000000000001E-3</v>
      </c>
      <c r="S28" s="15">
        <f>R28/SUM(R27:R28)</f>
        <v>0.5</v>
      </c>
      <c r="T28" s="11">
        <v>0.1062</v>
      </c>
      <c r="U28" s="15">
        <f>T28/SUM(T27:T28)</f>
        <v>0.50070721357850068</v>
      </c>
      <c r="AA28" s="21" t="s">
        <v>36</v>
      </c>
      <c r="AB28" s="21" t="s">
        <v>36</v>
      </c>
      <c r="AC28" s="22">
        <v>12.8262</v>
      </c>
      <c r="AD28" s="22">
        <v>2.8342999999999998</v>
      </c>
      <c r="AE28" s="21"/>
      <c r="AF28" s="21"/>
      <c r="AG28" s="21"/>
      <c r="AH28" s="21"/>
    </row>
    <row r="29" spans="2:34" x14ac:dyDescent="0.2">
      <c r="B29" t="s">
        <v>8</v>
      </c>
      <c r="C29" t="s">
        <v>43</v>
      </c>
      <c r="D29" t="s">
        <v>33</v>
      </c>
      <c r="E29" t="s">
        <v>23</v>
      </c>
      <c r="F29" t="s">
        <v>31</v>
      </c>
      <c r="G29" s="1">
        <v>2076</v>
      </c>
      <c r="H29" s="1">
        <v>0.6409999999999999</v>
      </c>
      <c r="L29" s="8"/>
      <c r="M29" s="7"/>
      <c r="N29" s="12" t="s">
        <v>31</v>
      </c>
      <c r="O29" s="12" t="s">
        <v>4</v>
      </c>
      <c r="P29" s="13">
        <v>1.8494999999999999</v>
      </c>
      <c r="Q29" s="14">
        <f>P29/SUM(P29:P32)</f>
        <v>0.5083026895107432</v>
      </c>
      <c r="R29" s="13">
        <v>4.8899999999999999E-2</v>
      </c>
      <c r="S29" s="14">
        <f>R29/SUM(R29:R32)</f>
        <v>0.21777856951990734</v>
      </c>
      <c r="T29" s="13">
        <v>1.8983999999999999</v>
      </c>
      <c r="U29" s="14">
        <f>T29/SUM(T29:T32)</f>
        <v>0.49141626457371246</v>
      </c>
      <c r="AA29" s="21"/>
      <c r="AB29" s="21" t="s">
        <v>0</v>
      </c>
      <c r="AC29" s="22">
        <v>2.2100000000000002E-2</v>
      </c>
      <c r="AD29" s="22">
        <v>4.7999999999999996E-3</v>
      </c>
      <c r="AE29" s="21"/>
      <c r="AF29" s="21"/>
      <c r="AG29" s="21"/>
      <c r="AH29" s="21"/>
    </row>
    <row r="30" spans="2:34" x14ac:dyDescent="0.2">
      <c r="B30" t="s">
        <v>8</v>
      </c>
      <c r="C30" t="s">
        <v>43</v>
      </c>
      <c r="D30" t="s">
        <v>34</v>
      </c>
      <c r="E30" t="s">
        <v>19</v>
      </c>
      <c r="F30" t="s">
        <v>31</v>
      </c>
      <c r="G30" s="1">
        <v>2076</v>
      </c>
      <c r="H30" s="1">
        <v>2.8000000000000001E-2</v>
      </c>
      <c r="L30" s="8"/>
      <c r="M30" s="7"/>
      <c r="N30" s="12"/>
      <c r="O30" s="12" t="s">
        <v>5</v>
      </c>
      <c r="P30" s="13">
        <v>6.7409999999999998E-2</v>
      </c>
      <c r="Q30" s="14">
        <f>P30/SUM(P29:P32)</f>
        <v>1.852645812377356E-2</v>
      </c>
      <c r="R30" s="13">
        <v>4.0800000000000003E-2</v>
      </c>
      <c r="S30" s="14">
        <f>R30/SUM(R29:R32)</f>
        <v>0.18170481874053621</v>
      </c>
      <c r="T30" s="13">
        <v>0.10821</v>
      </c>
      <c r="U30" s="14">
        <f>T30/SUM(T29:T32)</f>
        <v>2.8011037710451658E-2</v>
      </c>
      <c r="AA30" s="21" t="s">
        <v>37</v>
      </c>
      <c r="AB30" s="21" t="s">
        <v>37</v>
      </c>
      <c r="AC30" s="22">
        <v>9.7600000000000006E-2</v>
      </c>
      <c r="AD30" s="22">
        <v>8.3000000000000001E-3</v>
      </c>
      <c r="AE30" s="21"/>
      <c r="AF30" s="21"/>
      <c r="AG30" s="21"/>
      <c r="AH30" s="21"/>
    </row>
    <row r="31" spans="2:34" x14ac:dyDescent="0.2">
      <c r="B31" t="s">
        <v>8</v>
      </c>
      <c r="C31" t="s">
        <v>43</v>
      </c>
      <c r="D31" t="s">
        <v>34</v>
      </c>
      <c r="E31" t="s">
        <v>21</v>
      </c>
      <c r="F31" t="s">
        <v>31</v>
      </c>
      <c r="G31" s="1">
        <v>2076</v>
      </c>
      <c r="H31" s="1">
        <v>0.23799999999999999</v>
      </c>
      <c r="L31" s="8"/>
      <c r="M31" s="7"/>
      <c r="N31" s="12"/>
      <c r="O31" s="12" t="s">
        <v>7</v>
      </c>
      <c r="P31" s="13">
        <v>0.19542999999999999</v>
      </c>
      <c r="Q31" s="14">
        <f>P31/SUM(P29:P32)</f>
        <v>5.3710513442057066E-2</v>
      </c>
      <c r="R31" s="13">
        <v>2.512E-2</v>
      </c>
      <c r="S31" s="14">
        <f>R31/SUM(R29:R32)</f>
        <v>0.11187316291083993</v>
      </c>
      <c r="T31" s="13">
        <v>0.22055</v>
      </c>
      <c r="U31" s="14">
        <f>T31/SUM(T29:T32)</f>
        <v>5.7091159477313684E-2</v>
      </c>
      <c r="AA31" s="21"/>
      <c r="AB31" s="21" t="s">
        <v>0</v>
      </c>
      <c r="AC31" s="22">
        <v>1.8599999999999998E-2</v>
      </c>
      <c r="AD31" s="22">
        <v>4.1000000000000003E-3</v>
      </c>
      <c r="AE31" s="21"/>
      <c r="AF31" s="21"/>
      <c r="AG31" s="21"/>
      <c r="AH31" s="21"/>
    </row>
    <row r="32" spans="2:34" x14ac:dyDescent="0.2">
      <c r="B32" t="s">
        <v>8</v>
      </c>
      <c r="C32" t="s">
        <v>43</v>
      </c>
      <c r="D32" t="s">
        <v>34</v>
      </c>
      <c r="E32" t="s">
        <v>23</v>
      </c>
      <c r="F32" t="s">
        <v>31</v>
      </c>
      <c r="G32" s="1">
        <v>2076</v>
      </c>
      <c r="H32" s="1">
        <v>0.26600000000000001</v>
      </c>
      <c r="L32" s="8"/>
      <c r="M32" s="9"/>
      <c r="N32" s="12"/>
      <c r="O32" s="12" t="s">
        <v>6</v>
      </c>
      <c r="P32" s="13">
        <v>1.52624</v>
      </c>
      <c r="Q32" s="14">
        <f>P32/SUM(P29:P32)</f>
        <v>0.41946033892342621</v>
      </c>
      <c r="R32" s="13">
        <v>0.10972</v>
      </c>
      <c r="S32" s="14">
        <f>R32/SUM(R29:R32)</f>
        <v>0.48864344882871646</v>
      </c>
      <c r="T32" s="13">
        <v>1.6359600000000001</v>
      </c>
      <c r="U32" s="14">
        <f>T32/SUM(T29:T32)</f>
        <v>0.4234815382385223</v>
      </c>
      <c r="AA32" s="21" t="s">
        <v>9</v>
      </c>
      <c r="AB32" s="21" t="s">
        <v>42</v>
      </c>
      <c r="AC32" s="22">
        <v>0.08</v>
      </c>
      <c r="AD32" s="22">
        <v>0.69799999999999995</v>
      </c>
      <c r="AE32" s="21"/>
      <c r="AF32" s="21"/>
      <c r="AG32" s="21"/>
      <c r="AH32" s="21"/>
    </row>
    <row r="33" spans="2:34" x14ac:dyDescent="0.2">
      <c r="B33" t="s">
        <v>10</v>
      </c>
      <c r="C33" t="s">
        <v>43</v>
      </c>
      <c r="D33" t="s">
        <v>1</v>
      </c>
      <c r="E33" t="s">
        <v>19</v>
      </c>
      <c r="F33" t="s">
        <v>24</v>
      </c>
      <c r="G33" s="1">
        <v>2271</v>
      </c>
      <c r="H33" s="1">
        <v>8124</v>
      </c>
      <c r="L33" s="8"/>
      <c r="M33" s="7" t="s">
        <v>0</v>
      </c>
      <c r="N33" s="10" t="s">
        <v>24</v>
      </c>
      <c r="O33" s="10" t="s">
        <v>1</v>
      </c>
      <c r="P33" s="11">
        <v>71</v>
      </c>
      <c r="Q33" s="15">
        <f>P33/P33</f>
        <v>1</v>
      </c>
      <c r="R33" s="11">
        <v>14</v>
      </c>
      <c r="S33" s="15">
        <f>R33/R33</f>
        <v>1</v>
      </c>
      <c r="T33" s="11">
        <v>85</v>
      </c>
      <c r="U33" s="15">
        <f>T33/T33</f>
        <v>1</v>
      </c>
      <c r="AA33" s="21" t="s">
        <v>0</v>
      </c>
      <c r="AB33" s="21" t="s">
        <v>42</v>
      </c>
      <c r="AC33" s="22">
        <v>1.33</v>
      </c>
      <c r="AD33" s="22">
        <v>0.28999999999999998</v>
      </c>
      <c r="AE33" s="21"/>
      <c r="AF33" s="21"/>
      <c r="AG33" s="21"/>
      <c r="AH33" s="21"/>
    </row>
    <row r="34" spans="2:34" x14ac:dyDescent="0.2">
      <c r="B34" t="s">
        <v>10</v>
      </c>
      <c r="C34" t="s">
        <v>43</v>
      </c>
      <c r="D34" t="s">
        <v>1</v>
      </c>
      <c r="E34" t="s">
        <v>21</v>
      </c>
      <c r="F34" t="s">
        <v>24</v>
      </c>
      <c r="G34" s="1">
        <v>2271</v>
      </c>
      <c r="H34" s="1">
        <v>3329</v>
      </c>
      <c r="L34" s="8"/>
      <c r="M34" s="7"/>
      <c r="N34" s="12" t="s">
        <v>26</v>
      </c>
      <c r="O34" s="12" t="s">
        <v>2</v>
      </c>
      <c r="P34" s="13">
        <v>1.8599999999999998E-2</v>
      </c>
      <c r="Q34" s="14">
        <f>P34/SUM(P34:P35)</f>
        <v>0.49468085106382981</v>
      </c>
      <c r="R34" s="13">
        <v>4.1000000000000003E-3</v>
      </c>
      <c r="S34" s="14">
        <f>R34/SUM(R34:R35)</f>
        <v>0.49397590361445787</v>
      </c>
      <c r="T34" s="13">
        <v>2.2699999999999998E-2</v>
      </c>
      <c r="U34" s="14">
        <f>T34/SUM(T34:T35)</f>
        <v>0.49455337690631807</v>
      </c>
      <c r="AA34" s="21"/>
      <c r="AB34" s="21"/>
      <c r="AC34" s="21"/>
      <c r="AD34" s="21"/>
      <c r="AE34" s="21"/>
      <c r="AF34" s="21"/>
      <c r="AG34" s="21"/>
      <c r="AH34" s="21"/>
    </row>
    <row r="35" spans="2:34" x14ac:dyDescent="0.2">
      <c r="B35" t="s">
        <v>10</v>
      </c>
      <c r="C35" t="s">
        <v>43</v>
      </c>
      <c r="D35" t="s">
        <v>1</v>
      </c>
      <c r="E35" t="s">
        <v>23</v>
      </c>
      <c r="F35" t="s">
        <v>24</v>
      </c>
      <c r="G35" s="1">
        <v>2271</v>
      </c>
      <c r="H35">
        <v>11453</v>
      </c>
      <c r="L35" s="8"/>
      <c r="M35" s="7"/>
      <c r="N35" s="12"/>
      <c r="O35" s="12" t="s">
        <v>3</v>
      </c>
      <c r="P35" s="13">
        <v>1.9E-2</v>
      </c>
      <c r="Q35" s="14">
        <f>P35/SUM(P34:P35)</f>
        <v>0.50531914893617025</v>
      </c>
      <c r="R35" s="13">
        <v>4.1999999999999997E-3</v>
      </c>
      <c r="S35" s="14">
        <f>R35/SUM(R34:R35)</f>
        <v>0.50602409638554213</v>
      </c>
      <c r="T35" s="13">
        <v>2.3199999999999998E-2</v>
      </c>
      <c r="U35" s="14">
        <f>T35/SUM(T34:T35)</f>
        <v>0.50544662309368193</v>
      </c>
      <c r="AA35" s="21" t="s">
        <v>38</v>
      </c>
      <c r="AB35" s="21" t="s">
        <v>40</v>
      </c>
      <c r="AC35" s="21" t="s">
        <v>20</v>
      </c>
      <c r="AD35" s="21" t="s">
        <v>18</v>
      </c>
      <c r="AE35" s="21"/>
      <c r="AF35" s="21"/>
      <c r="AG35" s="21"/>
      <c r="AH35" s="21"/>
    </row>
    <row r="36" spans="2:34" x14ac:dyDescent="0.2">
      <c r="B36" t="s">
        <v>10</v>
      </c>
      <c r="C36" t="s">
        <v>43</v>
      </c>
      <c r="D36" t="s">
        <v>25</v>
      </c>
      <c r="E36" t="s">
        <v>19</v>
      </c>
      <c r="F36" t="s">
        <v>27</v>
      </c>
      <c r="G36" s="1">
        <v>2271</v>
      </c>
      <c r="H36">
        <v>0.75700000000000001</v>
      </c>
      <c r="L36" s="8"/>
      <c r="M36" s="7"/>
      <c r="N36" s="10" t="s">
        <v>31</v>
      </c>
      <c r="O36" s="10" t="s">
        <v>4</v>
      </c>
      <c r="P36" s="11">
        <v>5.3800000000000001E-2</v>
      </c>
      <c r="Q36" s="15">
        <f>P36/SUM(P36:P39)</f>
        <v>0.95831848949055931</v>
      </c>
      <c r="R36" s="11">
        <v>0.01</v>
      </c>
      <c r="S36" s="15">
        <f>R36/SUM(R36:R39)</f>
        <v>0.40551500405515006</v>
      </c>
      <c r="T36" s="11">
        <v>6.3799999999999996E-2</v>
      </c>
      <c r="U36" s="15">
        <f>T36/SUM(T36:T39)</f>
        <v>0.78960396039603975</v>
      </c>
      <c r="AA36" s="21" t="s">
        <v>36</v>
      </c>
      <c r="AB36" s="21" t="s">
        <v>36</v>
      </c>
      <c r="AC36" s="22">
        <v>48.404000000000003</v>
      </c>
      <c r="AD36" s="22">
        <v>6.8959999999999999</v>
      </c>
      <c r="AE36" s="21"/>
      <c r="AF36" s="21"/>
      <c r="AG36" s="21"/>
      <c r="AH36" s="21"/>
    </row>
    <row r="37" spans="2:34" x14ac:dyDescent="0.2">
      <c r="B37" t="s">
        <v>10</v>
      </c>
      <c r="C37" t="s">
        <v>43</v>
      </c>
      <c r="D37" t="s">
        <v>25</v>
      </c>
      <c r="E37" t="s">
        <v>21</v>
      </c>
      <c r="F37" t="s">
        <v>27</v>
      </c>
      <c r="G37" s="1">
        <v>2271</v>
      </c>
      <c r="H37">
        <v>8.1000000000000003E-2</v>
      </c>
      <c r="L37" s="8"/>
      <c r="M37" s="7"/>
      <c r="N37" s="10"/>
      <c r="O37" s="10" t="s">
        <v>5</v>
      </c>
      <c r="P37" s="11">
        <v>8.5999999999999998E-4</v>
      </c>
      <c r="Q37" s="15">
        <f>P37/SUM(P36:P39)</f>
        <v>1.5318845742785891E-2</v>
      </c>
      <c r="R37" s="11">
        <v>6.3499999999999997E-3</v>
      </c>
      <c r="S37" s="15">
        <f>R37/SUM(R36:R39)</f>
        <v>0.25750202757502028</v>
      </c>
      <c r="T37" s="11">
        <v>7.2099999999999994E-3</v>
      </c>
      <c r="U37" s="15">
        <f>T37/SUM(T36:T39)</f>
        <v>8.9232673267326743E-2</v>
      </c>
      <c r="AA37" s="21"/>
      <c r="AB37" s="21" t="s">
        <v>0</v>
      </c>
      <c r="AC37" s="22">
        <v>6.2E-2</v>
      </c>
      <c r="AD37" s="22">
        <v>1.2E-2</v>
      </c>
      <c r="AE37" s="21"/>
      <c r="AF37" s="21"/>
      <c r="AG37" s="21"/>
      <c r="AH37" s="21"/>
    </row>
    <row r="38" spans="2:34" x14ac:dyDescent="0.2">
      <c r="B38" t="s">
        <v>10</v>
      </c>
      <c r="C38" t="s">
        <v>43</v>
      </c>
      <c r="D38" t="s">
        <v>25</v>
      </c>
      <c r="E38" t="s">
        <v>23</v>
      </c>
      <c r="F38" t="s">
        <v>27</v>
      </c>
      <c r="G38" s="1">
        <v>2271</v>
      </c>
      <c r="H38">
        <v>0.83799999999999997</v>
      </c>
      <c r="L38" s="8"/>
      <c r="M38" s="7"/>
      <c r="N38" s="10"/>
      <c r="O38" s="10" t="s">
        <v>7</v>
      </c>
      <c r="P38" s="11">
        <v>8.8999999999999995E-4</v>
      </c>
      <c r="Q38" s="15">
        <f>P38/SUM(P36:P39)</f>
        <v>1.5853224082650514E-2</v>
      </c>
      <c r="R38" s="11">
        <v>3.8000000000000002E-4</v>
      </c>
      <c r="S38" s="15">
        <f>R38/SUM(R36:R39)</f>
        <v>1.5409570154095704E-2</v>
      </c>
      <c r="T38" s="11">
        <v>1.2699999999999999E-3</v>
      </c>
      <c r="U38" s="15">
        <f>T38/SUM(T36:T39)</f>
        <v>1.5717821782178218E-2</v>
      </c>
      <c r="AA38" s="21" t="s">
        <v>37</v>
      </c>
      <c r="AB38" s="21" t="s">
        <v>37</v>
      </c>
      <c r="AC38" s="22">
        <v>1.8494999999999999</v>
      </c>
      <c r="AD38" s="22">
        <v>4.8899999999999999E-2</v>
      </c>
      <c r="AE38" s="21"/>
      <c r="AF38" s="21"/>
      <c r="AG38" s="21"/>
      <c r="AH38" s="21"/>
    </row>
    <row r="39" spans="2:34" x14ac:dyDescent="0.2">
      <c r="B39" t="s">
        <v>10</v>
      </c>
      <c r="C39" t="s">
        <v>43</v>
      </c>
      <c r="D39" t="s">
        <v>29</v>
      </c>
      <c r="E39" t="s">
        <v>19</v>
      </c>
      <c r="F39" t="s">
        <v>27</v>
      </c>
      <c r="G39" s="1">
        <v>2271</v>
      </c>
      <c r="H39">
        <v>0.69799999999999995</v>
      </c>
      <c r="L39" s="6"/>
      <c r="M39" s="9"/>
      <c r="N39" s="10"/>
      <c r="O39" s="10" t="s">
        <v>6</v>
      </c>
      <c r="P39" s="11">
        <v>5.9000000000000003E-4</v>
      </c>
      <c r="Q39" s="15">
        <f>P39/SUM(P36:P39)</f>
        <v>1.0509440684004275E-2</v>
      </c>
      <c r="R39" s="11">
        <v>7.9299999999999995E-3</v>
      </c>
      <c r="S39" s="15">
        <f>R39/SUM(R36:R39)</f>
        <v>0.321573398215734</v>
      </c>
      <c r="T39" s="11">
        <v>8.5199999999999998E-3</v>
      </c>
      <c r="U39" s="15">
        <f>T39/SUM(T36:T39)</f>
        <v>0.10544554455445547</v>
      </c>
      <c r="AA39" s="21"/>
      <c r="AB39" s="21" t="s">
        <v>0</v>
      </c>
      <c r="AC39" s="22">
        <v>5.3800000000000001E-2</v>
      </c>
      <c r="AD39" s="22">
        <v>0.01</v>
      </c>
      <c r="AE39" s="21"/>
      <c r="AF39" s="21"/>
      <c r="AG39" s="21"/>
      <c r="AH39" s="21"/>
    </row>
    <row r="40" spans="2:34" x14ac:dyDescent="0.2">
      <c r="B40" t="s">
        <v>10</v>
      </c>
      <c r="C40" t="s">
        <v>43</v>
      </c>
      <c r="D40" t="s">
        <v>29</v>
      </c>
      <c r="E40" t="s">
        <v>21</v>
      </c>
      <c r="F40" t="s">
        <v>27</v>
      </c>
      <c r="G40" s="1">
        <v>2271</v>
      </c>
      <c r="H40">
        <v>0.08</v>
      </c>
      <c r="L40" s="5" t="s">
        <v>9</v>
      </c>
      <c r="M40" s="7" t="s">
        <v>42</v>
      </c>
      <c r="N40" s="12" t="s">
        <v>24</v>
      </c>
      <c r="O40" s="12" t="s">
        <v>1</v>
      </c>
      <c r="P40" s="13">
        <v>3329</v>
      </c>
      <c r="Q40" s="14">
        <f>P40/P40</f>
        <v>1</v>
      </c>
      <c r="R40" s="13">
        <v>8124</v>
      </c>
      <c r="S40" s="14">
        <f>R40/R40</f>
        <v>1</v>
      </c>
      <c r="T40" s="13">
        <v>11453</v>
      </c>
      <c r="U40" s="14">
        <f>T40/T40</f>
        <v>1</v>
      </c>
      <c r="AA40" s="21" t="s">
        <v>9</v>
      </c>
      <c r="AB40" s="21" t="s">
        <v>42</v>
      </c>
      <c r="AC40" s="22">
        <v>1.1599999999999999</v>
      </c>
      <c r="AD40" s="22">
        <v>1.98</v>
      </c>
      <c r="AE40" s="21"/>
      <c r="AF40" s="21"/>
      <c r="AG40" s="21"/>
      <c r="AH40" s="21"/>
    </row>
    <row r="41" spans="2:34" x14ac:dyDescent="0.2">
      <c r="B41" t="s">
        <v>10</v>
      </c>
      <c r="C41" t="s">
        <v>43</v>
      </c>
      <c r="D41" t="s">
        <v>29</v>
      </c>
      <c r="E41" t="s">
        <v>23</v>
      </c>
      <c r="F41" t="s">
        <v>27</v>
      </c>
      <c r="G41" s="1">
        <v>2271</v>
      </c>
      <c r="H41">
        <v>0.77799999999999991</v>
      </c>
      <c r="L41" s="8"/>
      <c r="M41" s="7"/>
      <c r="N41" s="10" t="s">
        <v>26</v>
      </c>
      <c r="O41" s="10" t="s">
        <v>2</v>
      </c>
      <c r="P41" s="11">
        <v>0.08</v>
      </c>
      <c r="Q41" s="15">
        <f>P41/SUM(P41:P42)</f>
        <v>0.49689440993788819</v>
      </c>
      <c r="R41" s="11">
        <v>0.69799999999999995</v>
      </c>
      <c r="S41" s="15">
        <f>R41/SUM(R41:R42)</f>
        <v>0.47972508591065288</v>
      </c>
      <c r="T41" s="11">
        <v>0.77799999999999991</v>
      </c>
      <c r="U41" s="15">
        <f>T41/SUM(T41:T42)</f>
        <v>0.48143564356435642</v>
      </c>
      <c r="AA41" s="21" t="s">
        <v>0</v>
      </c>
      <c r="AB41" s="21" t="s">
        <v>42</v>
      </c>
      <c r="AC41" s="22">
        <v>11.23</v>
      </c>
      <c r="AD41" s="22">
        <v>0.71</v>
      </c>
      <c r="AE41" s="21"/>
      <c r="AF41" s="21"/>
      <c r="AG41" s="21"/>
      <c r="AH41" s="21"/>
    </row>
    <row r="42" spans="2:34" x14ac:dyDescent="0.2">
      <c r="B42" t="s">
        <v>10</v>
      </c>
      <c r="C42" t="s">
        <v>43</v>
      </c>
      <c r="D42" t="s">
        <v>30</v>
      </c>
      <c r="E42" t="s">
        <v>19</v>
      </c>
      <c r="F42" t="s">
        <v>31</v>
      </c>
      <c r="G42" s="1">
        <v>2271</v>
      </c>
      <c r="H42">
        <v>1.98</v>
      </c>
      <c r="L42" s="8"/>
      <c r="M42" s="7"/>
      <c r="N42" s="10"/>
      <c r="O42" s="10" t="s">
        <v>3</v>
      </c>
      <c r="P42" s="11">
        <v>8.1000000000000003E-2</v>
      </c>
      <c r="Q42" s="15">
        <f>P42/SUM(P41:P42)</f>
        <v>0.50310559006211175</v>
      </c>
      <c r="R42" s="11">
        <v>0.75700000000000001</v>
      </c>
      <c r="S42" s="15">
        <f>R42/SUM(R41:R42)</f>
        <v>0.52027491408934701</v>
      </c>
      <c r="T42" s="11">
        <v>0.83799999999999997</v>
      </c>
      <c r="U42" s="15">
        <f>T42/SUM(T41:T42)</f>
        <v>0.51856435643564358</v>
      </c>
      <c r="AA42" s="21"/>
      <c r="AB42" s="21"/>
      <c r="AC42" s="21"/>
      <c r="AD42" s="21"/>
      <c r="AE42" s="21"/>
      <c r="AF42" s="21"/>
      <c r="AG42" s="21"/>
      <c r="AH42" s="21"/>
    </row>
    <row r="43" spans="2:34" x14ac:dyDescent="0.2">
      <c r="B43" t="s">
        <v>10</v>
      </c>
      <c r="C43" t="s">
        <v>43</v>
      </c>
      <c r="D43" t="s">
        <v>30</v>
      </c>
      <c r="E43" t="s">
        <v>21</v>
      </c>
      <c r="F43" t="s">
        <v>31</v>
      </c>
      <c r="G43" s="1">
        <v>2271</v>
      </c>
      <c r="H43">
        <v>1.1599999999999999</v>
      </c>
      <c r="L43" s="8"/>
      <c r="M43" s="7"/>
      <c r="N43" s="12" t="s">
        <v>31</v>
      </c>
      <c r="O43" s="12" t="s">
        <v>4</v>
      </c>
      <c r="P43" s="13">
        <v>1.1599999999999999</v>
      </c>
      <c r="Q43" s="14">
        <f>P43/SUM(P43:P46)</f>
        <v>0.9442409442409444</v>
      </c>
      <c r="R43" s="13">
        <v>1.98</v>
      </c>
      <c r="S43" s="14">
        <f>R43/SUM(R43:R46)</f>
        <v>0.491193252294716</v>
      </c>
      <c r="T43" s="13">
        <v>3.1399999999999997</v>
      </c>
      <c r="U43" s="14">
        <f>T43/SUM(T43:T46)</f>
        <v>0.59701492537313428</v>
      </c>
      <c r="AA43" s="21" t="s">
        <v>38</v>
      </c>
      <c r="AB43" s="21" t="s">
        <v>40</v>
      </c>
      <c r="AC43" s="21" t="s">
        <v>20</v>
      </c>
      <c r="AD43" s="21" t="s">
        <v>18</v>
      </c>
      <c r="AE43" s="21"/>
      <c r="AF43" s="21"/>
      <c r="AG43" s="21"/>
      <c r="AH43" s="21"/>
    </row>
    <row r="44" spans="2:34" x14ac:dyDescent="0.2">
      <c r="B44" t="s">
        <v>10</v>
      </c>
      <c r="C44" t="s">
        <v>43</v>
      </c>
      <c r="D44" t="s">
        <v>30</v>
      </c>
      <c r="E44" t="s">
        <v>23</v>
      </c>
      <c r="F44" t="s">
        <v>31</v>
      </c>
      <c r="G44" s="1">
        <v>2271</v>
      </c>
      <c r="H44">
        <v>3.1399999999999997</v>
      </c>
      <c r="L44" s="8"/>
      <c r="M44" s="7"/>
      <c r="N44" s="12"/>
      <c r="O44" s="12" t="s">
        <v>5</v>
      </c>
      <c r="P44" s="13">
        <v>5.2999999999999999E-2</v>
      </c>
      <c r="Q44" s="14">
        <f>P44/SUM(P43:P46)</f>
        <v>4.3142043142043153E-2</v>
      </c>
      <c r="R44" s="13">
        <v>5.0999999999999997E-2</v>
      </c>
      <c r="S44" s="14">
        <f>R44/SUM(R43:R46)</f>
        <v>1.2651947407591169E-2</v>
      </c>
      <c r="T44" s="13">
        <v>0.104</v>
      </c>
      <c r="U44" s="14">
        <f>T44/SUM(T43:T46)</f>
        <v>1.9773742751212093E-2</v>
      </c>
      <c r="AA44" s="21" t="s">
        <v>36</v>
      </c>
      <c r="AB44" s="21" t="s">
        <v>36</v>
      </c>
      <c r="AC44" s="22">
        <v>1.986</v>
      </c>
      <c r="AD44" s="22">
        <v>4.4648000000000003</v>
      </c>
      <c r="AE44" s="21"/>
      <c r="AF44" s="21"/>
      <c r="AG44" s="21"/>
      <c r="AH44" s="21"/>
    </row>
    <row r="45" spans="2:34" x14ac:dyDescent="0.2">
      <c r="B45" t="s">
        <v>10</v>
      </c>
      <c r="C45" t="s">
        <v>43</v>
      </c>
      <c r="D45" t="s">
        <v>32</v>
      </c>
      <c r="E45" t="s">
        <v>19</v>
      </c>
      <c r="F45" t="s">
        <v>31</v>
      </c>
      <c r="G45" s="1">
        <v>2271</v>
      </c>
      <c r="H45">
        <v>5.0999999999999997E-2</v>
      </c>
      <c r="L45" s="8"/>
      <c r="M45" s="7"/>
      <c r="N45" s="12"/>
      <c r="O45" s="12" t="s">
        <v>7</v>
      </c>
      <c r="P45" s="13">
        <v>1.2999999999999999E-2</v>
      </c>
      <c r="Q45" s="14">
        <f>P45/SUM(P43:P46)</f>
        <v>1.0582010582010585E-2</v>
      </c>
      <c r="R45" s="13">
        <v>0.28000000000000003</v>
      </c>
      <c r="S45" s="14">
        <f>R45/SUM(R43:R46)</f>
        <v>6.9461672041677011E-2</v>
      </c>
      <c r="T45" s="13">
        <v>0.29300000000000004</v>
      </c>
      <c r="U45" s="14">
        <f>T45/SUM(T43:T46)</f>
        <v>5.5708717558703304E-2</v>
      </c>
      <c r="AA45" s="21"/>
      <c r="AB45" s="21" t="s">
        <v>0</v>
      </c>
      <c r="AC45" s="22">
        <v>1E-3</v>
      </c>
      <c r="AD45" s="22">
        <v>7.4999999999999997E-3</v>
      </c>
      <c r="AE45" s="21"/>
      <c r="AF45" s="21"/>
      <c r="AG45" s="21"/>
      <c r="AH45" s="21"/>
    </row>
    <row r="46" spans="2:34" x14ac:dyDescent="0.2">
      <c r="B46" t="s">
        <v>10</v>
      </c>
      <c r="C46" t="s">
        <v>43</v>
      </c>
      <c r="D46" t="s">
        <v>32</v>
      </c>
      <c r="E46" t="s">
        <v>21</v>
      </c>
      <c r="F46" t="s">
        <v>31</v>
      </c>
      <c r="G46" s="1">
        <v>2271</v>
      </c>
      <c r="H46">
        <v>5.2999999999999999E-2</v>
      </c>
      <c r="L46" s="6"/>
      <c r="M46" s="7"/>
      <c r="N46" s="12"/>
      <c r="O46" s="12" t="s">
        <v>6</v>
      </c>
      <c r="P46" s="13">
        <v>2.5000000000000001E-3</v>
      </c>
      <c r="Q46" s="14">
        <f>P46/SUM(P43:P46)</f>
        <v>2.0350020350020357E-3</v>
      </c>
      <c r="R46" s="13">
        <v>1.72</v>
      </c>
      <c r="S46" s="14">
        <f>R46/SUM(R43:R46)</f>
        <v>0.42669312825601591</v>
      </c>
      <c r="T46" s="13">
        <v>1.7224999999999999</v>
      </c>
      <c r="U46" s="14">
        <f>T46/SUM(T43:T46)</f>
        <v>0.32750261431695027</v>
      </c>
      <c r="AA46" s="21" t="s">
        <v>37</v>
      </c>
      <c r="AB46" s="21" t="s">
        <v>37</v>
      </c>
      <c r="AC46" s="22">
        <v>6.7409999999999998E-2</v>
      </c>
      <c r="AD46" s="22">
        <v>4.0800000000000003E-2</v>
      </c>
      <c r="AE46" s="21"/>
      <c r="AF46" s="21"/>
      <c r="AG46" s="21"/>
      <c r="AH46" s="21"/>
    </row>
    <row r="47" spans="2:34" x14ac:dyDescent="0.2">
      <c r="B47" t="s">
        <v>10</v>
      </c>
      <c r="C47" t="s">
        <v>43</v>
      </c>
      <c r="D47" t="s">
        <v>32</v>
      </c>
      <c r="E47" t="s">
        <v>23</v>
      </c>
      <c r="F47" t="s">
        <v>31</v>
      </c>
      <c r="G47" s="1">
        <v>2271</v>
      </c>
      <c r="H47">
        <v>0.104</v>
      </c>
      <c r="L47" s="5" t="s">
        <v>0</v>
      </c>
      <c r="M47" s="7" t="s">
        <v>42</v>
      </c>
      <c r="N47" s="10" t="s">
        <v>24</v>
      </c>
      <c r="O47" s="10" t="s">
        <v>1</v>
      </c>
      <c r="P47" s="11">
        <v>18262</v>
      </c>
      <c r="Q47" s="15">
        <f>P47/P47</f>
        <v>1</v>
      </c>
      <c r="R47" s="11">
        <v>3636</v>
      </c>
      <c r="S47" s="15">
        <f>R47/R47</f>
        <v>1</v>
      </c>
      <c r="T47" s="11">
        <v>21898</v>
      </c>
      <c r="U47" s="15">
        <f>T47/T47</f>
        <v>1</v>
      </c>
      <c r="AA47" s="21"/>
      <c r="AB47" s="21" t="s">
        <v>0</v>
      </c>
      <c r="AC47" s="22">
        <v>8.5999999999999998E-4</v>
      </c>
      <c r="AD47" s="22">
        <v>6.3499999999999997E-3</v>
      </c>
      <c r="AE47" s="21"/>
      <c r="AF47" s="21"/>
      <c r="AG47" s="21"/>
      <c r="AH47" s="21"/>
    </row>
    <row r="48" spans="2:34" x14ac:dyDescent="0.2">
      <c r="B48" t="s">
        <v>10</v>
      </c>
      <c r="C48" t="s">
        <v>43</v>
      </c>
      <c r="D48" t="s">
        <v>33</v>
      </c>
      <c r="E48" t="s">
        <v>19</v>
      </c>
      <c r="F48" t="s">
        <v>31</v>
      </c>
      <c r="G48" s="1">
        <v>2271</v>
      </c>
      <c r="H48">
        <v>1.72</v>
      </c>
      <c r="L48" s="8"/>
      <c r="M48" s="7"/>
      <c r="N48" s="12" t="s">
        <v>26</v>
      </c>
      <c r="O48" s="12" t="s">
        <v>2</v>
      </c>
      <c r="P48" s="13">
        <v>1.33</v>
      </c>
      <c r="Q48" s="14">
        <f>P48/SUM(P48:P49)</f>
        <v>0.4962686567164179</v>
      </c>
      <c r="R48" s="13">
        <v>0.28999999999999998</v>
      </c>
      <c r="S48" s="14">
        <f>R48/SUM(R48:R49)</f>
        <v>0.49152542372881353</v>
      </c>
      <c r="T48" s="13">
        <v>1.62</v>
      </c>
      <c r="U48" s="14">
        <f>T48/SUM(T48:T49)</f>
        <v>0.49541284403669728</v>
      </c>
      <c r="AA48" s="21" t="s">
        <v>9</v>
      </c>
      <c r="AB48" s="21" t="s">
        <v>42</v>
      </c>
      <c r="AC48" s="22">
        <v>5.2999999999999999E-2</v>
      </c>
      <c r="AD48" s="22">
        <v>5.0999999999999997E-2</v>
      </c>
      <c r="AE48" s="21"/>
      <c r="AF48" s="21"/>
      <c r="AG48" s="21"/>
      <c r="AH48" s="21"/>
    </row>
    <row r="49" spans="2:34" x14ac:dyDescent="0.2">
      <c r="B49" t="s">
        <v>10</v>
      </c>
      <c r="C49" t="s">
        <v>43</v>
      </c>
      <c r="D49" t="s">
        <v>33</v>
      </c>
      <c r="E49" t="s">
        <v>21</v>
      </c>
      <c r="F49" t="s">
        <v>31</v>
      </c>
      <c r="G49" s="1">
        <v>2271</v>
      </c>
      <c r="H49">
        <v>2.5000000000000001E-3</v>
      </c>
      <c r="L49" s="8"/>
      <c r="M49" s="7"/>
      <c r="N49" s="16"/>
      <c r="O49" s="16" t="s">
        <v>3</v>
      </c>
      <c r="P49" s="17">
        <v>1.35</v>
      </c>
      <c r="Q49" s="14">
        <f>P49/SUM(P48:P49)</f>
        <v>0.50373134328358204</v>
      </c>
      <c r="R49" s="17">
        <v>0.3</v>
      </c>
      <c r="S49" s="14">
        <f>R49/SUM(R48:R49)</f>
        <v>0.50847457627118642</v>
      </c>
      <c r="T49" s="17">
        <v>1.65</v>
      </c>
      <c r="U49" s="14">
        <f>T49/SUM(T48:T49)</f>
        <v>0.50458715596330272</v>
      </c>
      <c r="AA49" s="21" t="s">
        <v>0</v>
      </c>
      <c r="AB49" s="21" t="s">
        <v>42</v>
      </c>
      <c r="AC49" s="22">
        <v>0.4</v>
      </c>
      <c r="AD49" s="22">
        <v>0.45</v>
      </c>
      <c r="AE49" s="21"/>
      <c r="AF49" s="21"/>
      <c r="AG49" s="21"/>
      <c r="AH49" s="21"/>
    </row>
    <row r="50" spans="2:34" x14ac:dyDescent="0.2">
      <c r="B50" t="s">
        <v>10</v>
      </c>
      <c r="C50" t="s">
        <v>43</v>
      </c>
      <c r="D50" t="s">
        <v>33</v>
      </c>
      <c r="E50" t="s">
        <v>23</v>
      </c>
      <c r="F50" t="s">
        <v>31</v>
      </c>
      <c r="G50" s="1">
        <v>2271</v>
      </c>
      <c r="H50">
        <v>1.7224999999999999</v>
      </c>
      <c r="L50" s="8"/>
      <c r="M50" s="7"/>
      <c r="N50" s="10" t="s">
        <v>31</v>
      </c>
      <c r="O50" s="10" t="s">
        <v>4</v>
      </c>
      <c r="P50" s="11">
        <v>11.23</v>
      </c>
      <c r="Q50" s="15">
        <f>P50/SUM(P50:P53)</f>
        <v>0.94022103148024105</v>
      </c>
      <c r="R50" s="11">
        <v>0.71</v>
      </c>
      <c r="S50" s="15">
        <f>R50/SUM(R50:R53)</f>
        <v>0.40501996577296062</v>
      </c>
      <c r="T50" s="11">
        <v>11.940000000000001</v>
      </c>
      <c r="U50" s="15">
        <f>T50/SUM(T50:T53)</f>
        <v>0.87172373512447987</v>
      </c>
      <c r="AA50" s="21"/>
      <c r="AB50" s="21"/>
      <c r="AC50" s="21"/>
      <c r="AD50" s="21"/>
      <c r="AE50" s="21"/>
      <c r="AF50" s="21"/>
      <c r="AG50" s="21"/>
      <c r="AH50" s="21"/>
    </row>
    <row r="51" spans="2:34" x14ac:dyDescent="0.2">
      <c r="B51" t="s">
        <v>10</v>
      </c>
      <c r="C51" t="s">
        <v>43</v>
      </c>
      <c r="D51" t="s">
        <v>34</v>
      </c>
      <c r="E51" t="s">
        <v>19</v>
      </c>
      <c r="F51" t="s">
        <v>31</v>
      </c>
      <c r="G51" s="1">
        <v>2271</v>
      </c>
      <c r="H51">
        <v>0.28000000000000003</v>
      </c>
      <c r="L51" s="8"/>
      <c r="M51" s="7"/>
      <c r="N51" s="10"/>
      <c r="O51" s="10" t="s">
        <v>5</v>
      </c>
      <c r="P51" s="11">
        <v>0.4</v>
      </c>
      <c r="Q51" s="15">
        <f>P51/SUM(P50:P53)</f>
        <v>3.3489618218352307E-2</v>
      </c>
      <c r="R51" s="11">
        <v>0.45</v>
      </c>
      <c r="S51" s="15">
        <f>R51/SUM(R50:R53)</f>
        <v>0.25670279520821448</v>
      </c>
      <c r="T51" s="11">
        <v>0.85000000000000009</v>
      </c>
      <c r="U51" s="15">
        <f>T51/SUM(T50:T53)</f>
        <v>6.205738482879463E-2</v>
      </c>
      <c r="AA51" s="21" t="s">
        <v>38</v>
      </c>
      <c r="AB51" s="21" t="s">
        <v>40</v>
      </c>
      <c r="AC51" s="21" t="s">
        <v>20</v>
      </c>
      <c r="AD51" s="21" t="s">
        <v>18</v>
      </c>
      <c r="AE51" s="21"/>
      <c r="AF51" s="21"/>
      <c r="AG51" s="21"/>
      <c r="AH51" s="21"/>
    </row>
    <row r="52" spans="2:34" x14ac:dyDescent="0.2">
      <c r="B52" t="s">
        <v>10</v>
      </c>
      <c r="C52" t="s">
        <v>43</v>
      </c>
      <c r="D52" t="s">
        <v>34</v>
      </c>
      <c r="E52" t="s">
        <v>21</v>
      </c>
      <c r="F52" t="s">
        <v>31</v>
      </c>
      <c r="G52" s="1">
        <v>2271</v>
      </c>
      <c r="H52">
        <v>1.2999999999999999E-2</v>
      </c>
      <c r="L52" s="8"/>
      <c r="M52" s="7"/>
      <c r="N52" s="10"/>
      <c r="O52" s="10" t="s">
        <v>7</v>
      </c>
      <c r="P52" s="11">
        <v>0.23799999999999999</v>
      </c>
      <c r="Q52" s="15">
        <f>P52/SUM(P50:P53)</f>
        <v>1.9926322839919623E-2</v>
      </c>
      <c r="R52" s="11">
        <v>2.8000000000000001E-2</v>
      </c>
      <c r="S52" s="15">
        <f>R52/SUM(R50:R53)</f>
        <v>1.5972618368511125E-2</v>
      </c>
      <c r="T52" s="11">
        <v>0.26600000000000001</v>
      </c>
      <c r="U52" s="15">
        <f>T52/SUM(T50:T53)</f>
        <v>1.9420311017011024E-2</v>
      </c>
      <c r="AA52" s="21" t="s">
        <v>36</v>
      </c>
      <c r="AB52" s="21" t="s">
        <v>36</v>
      </c>
      <c r="AC52" s="22">
        <v>0.40451999999999999</v>
      </c>
      <c r="AD52" s="22">
        <v>0.2641</v>
      </c>
      <c r="AE52" s="21"/>
      <c r="AF52" s="21"/>
      <c r="AG52" s="21"/>
      <c r="AH52" s="21"/>
    </row>
    <row r="53" spans="2:34" x14ac:dyDescent="0.2">
      <c r="B53" t="s">
        <v>10</v>
      </c>
      <c r="C53" t="s">
        <v>43</v>
      </c>
      <c r="D53" t="s">
        <v>34</v>
      </c>
      <c r="E53" t="s">
        <v>23</v>
      </c>
      <c r="F53" t="s">
        <v>31</v>
      </c>
      <c r="G53" s="1">
        <v>2271</v>
      </c>
      <c r="H53">
        <v>0.29300000000000004</v>
      </c>
      <c r="L53" s="6"/>
      <c r="M53" s="9"/>
      <c r="N53" s="10"/>
      <c r="O53" s="10" t="s">
        <v>6</v>
      </c>
      <c r="P53" s="11">
        <v>7.5999999999999998E-2</v>
      </c>
      <c r="Q53" s="15">
        <f>P53/SUM(P50:P53)</f>
        <v>6.3630274614869383E-3</v>
      </c>
      <c r="R53" s="11">
        <v>0.56499999999999995</v>
      </c>
      <c r="S53" s="15">
        <f>R53/SUM(R50:R53)</f>
        <v>0.32230462065031373</v>
      </c>
      <c r="T53" s="11">
        <v>0.6409999999999999</v>
      </c>
      <c r="U53" s="15">
        <f>T53/SUM(T50:T53)</f>
        <v>4.6798569029714528E-2</v>
      </c>
      <c r="AA53" s="21"/>
      <c r="AB53" s="21" t="s">
        <v>0</v>
      </c>
      <c r="AC53" s="22">
        <v>1.0399999999999999E-3</v>
      </c>
      <c r="AD53" s="22">
        <v>4.4999999999999999E-4</v>
      </c>
      <c r="AE53" s="21"/>
      <c r="AF53" s="21"/>
      <c r="AG53" s="21"/>
      <c r="AH53" s="21"/>
    </row>
    <row r="54" spans="2:34" x14ac:dyDescent="0.2">
      <c r="B54" t="s">
        <v>36</v>
      </c>
      <c r="C54" t="s">
        <v>36</v>
      </c>
      <c r="D54" t="s">
        <v>1</v>
      </c>
      <c r="E54" t="s">
        <v>19</v>
      </c>
      <c r="F54" t="s">
        <v>24</v>
      </c>
      <c r="G54" s="1">
        <v>959</v>
      </c>
      <c r="H54">
        <v>9491</v>
      </c>
      <c r="AA54" s="21" t="s">
        <v>37</v>
      </c>
      <c r="AB54" s="21" t="s">
        <v>37</v>
      </c>
      <c r="AC54" s="22">
        <v>0.19542999999999999</v>
      </c>
      <c r="AD54" s="22">
        <v>2.512E-2</v>
      </c>
      <c r="AE54" s="21"/>
      <c r="AF54" s="21"/>
      <c r="AG54" s="21"/>
      <c r="AH54" s="21"/>
    </row>
    <row r="55" spans="2:34" x14ac:dyDescent="0.2">
      <c r="B55" t="s">
        <v>36</v>
      </c>
      <c r="C55" t="s">
        <v>36</v>
      </c>
      <c r="D55" t="s">
        <v>1</v>
      </c>
      <c r="E55" t="s">
        <v>21</v>
      </c>
      <c r="F55" t="s">
        <v>24</v>
      </c>
      <c r="G55" s="1">
        <v>959</v>
      </c>
      <c r="H55">
        <v>49830</v>
      </c>
      <c r="AA55" s="21"/>
      <c r="AB55" s="21" t="s">
        <v>0</v>
      </c>
      <c r="AC55" s="22">
        <v>8.8999999999999995E-4</v>
      </c>
      <c r="AD55" s="22">
        <v>3.8000000000000002E-4</v>
      </c>
      <c r="AE55" s="21"/>
      <c r="AF55" s="21"/>
      <c r="AG55" s="21"/>
      <c r="AH55" s="21"/>
    </row>
    <row r="56" spans="2:34" ht="21" x14ac:dyDescent="0.25">
      <c r="B56" t="s">
        <v>36</v>
      </c>
      <c r="C56" t="s">
        <v>36</v>
      </c>
      <c r="D56" t="s">
        <v>1</v>
      </c>
      <c r="E56" t="s">
        <v>23</v>
      </c>
      <c r="F56" t="s">
        <v>24</v>
      </c>
      <c r="G56" s="1">
        <v>959</v>
      </c>
      <c r="H56">
        <v>59321</v>
      </c>
      <c r="L56" s="19" t="s">
        <v>53</v>
      </c>
      <c r="AA56" s="21" t="s">
        <v>9</v>
      </c>
      <c r="AB56" s="21" t="s">
        <v>42</v>
      </c>
      <c r="AC56" s="22">
        <v>1.2999999999999999E-2</v>
      </c>
      <c r="AD56" s="22">
        <v>0.28000000000000003</v>
      </c>
      <c r="AE56" s="21"/>
      <c r="AF56" s="21"/>
      <c r="AG56" s="21"/>
      <c r="AH56" s="21"/>
    </row>
    <row r="57" spans="2:34" x14ac:dyDescent="0.2">
      <c r="B57" t="s">
        <v>36</v>
      </c>
      <c r="C57" t="s">
        <v>36</v>
      </c>
      <c r="D57" t="s">
        <v>25</v>
      </c>
      <c r="E57" t="s">
        <v>19</v>
      </c>
      <c r="F57" t="s">
        <v>27</v>
      </c>
      <c r="G57" s="1">
        <v>959</v>
      </c>
      <c r="H57">
        <v>2.8523000000000001</v>
      </c>
      <c r="AA57" s="21" t="s">
        <v>0</v>
      </c>
      <c r="AB57" s="21" t="s">
        <v>42</v>
      </c>
      <c r="AC57" s="22">
        <v>0.23799999999999999</v>
      </c>
      <c r="AD57" s="22">
        <v>2.8000000000000001E-2</v>
      </c>
      <c r="AE57" s="21"/>
      <c r="AF57" s="21"/>
      <c r="AG57" s="21"/>
      <c r="AH57" s="21"/>
    </row>
    <row r="58" spans="2:34" x14ac:dyDescent="0.2">
      <c r="B58" t="s">
        <v>36</v>
      </c>
      <c r="C58" t="s">
        <v>36</v>
      </c>
      <c r="D58" t="s">
        <v>25</v>
      </c>
      <c r="E58" t="s">
        <v>21</v>
      </c>
      <c r="F58" t="s">
        <v>27</v>
      </c>
      <c r="G58" s="1">
        <v>959</v>
      </c>
      <c r="H58">
        <v>12.9338</v>
      </c>
      <c r="AA58" s="21"/>
      <c r="AB58" s="21"/>
      <c r="AC58" s="21"/>
      <c r="AD58" s="21"/>
      <c r="AE58" s="21"/>
      <c r="AF58" s="21"/>
      <c r="AG58" s="21"/>
      <c r="AH58" s="21"/>
    </row>
    <row r="59" spans="2:34" x14ac:dyDescent="0.2">
      <c r="B59" t="s">
        <v>36</v>
      </c>
      <c r="C59" t="s">
        <v>36</v>
      </c>
      <c r="D59" t="s">
        <v>25</v>
      </c>
      <c r="E59" t="s">
        <v>23</v>
      </c>
      <c r="F59" t="s">
        <v>27</v>
      </c>
      <c r="G59" s="1">
        <v>959</v>
      </c>
      <c r="H59">
        <v>15.786099999999999</v>
      </c>
      <c r="AA59" s="21" t="s">
        <v>38</v>
      </c>
      <c r="AB59" s="21" t="s">
        <v>40</v>
      </c>
      <c r="AC59" s="21" t="s">
        <v>20</v>
      </c>
      <c r="AD59" s="21" t="s">
        <v>18</v>
      </c>
      <c r="AE59" s="21"/>
      <c r="AF59" s="21"/>
      <c r="AG59" s="21"/>
      <c r="AH59" s="21"/>
    </row>
    <row r="60" spans="2:34" x14ac:dyDescent="0.2">
      <c r="B60" t="s">
        <v>36</v>
      </c>
      <c r="C60" t="s">
        <v>36</v>
      </c>
      <c r="D60" t="s">
        <v>29</v>
      </c>
      <c r="E60" t="s">
        <v>19</v>
      </c>
      <c r="F60" t="s">
        <v>27</v>
      </c>
      <c r="G60" s="1">
        <v>959</v>
      </c>
      <c r="H60">
        <v>2.8342999999999998</v>
      </c>
      <c r="AA60" s="21" t="s">
        <v>36</v>
      </c>
      <c r="AB60" s="21" t="s">
        <v>36</v>
      </c>
      <c r="AC60" s="22">
        <v>3.4169</v>
      </c>
      <c r="AD60" s="22">
        <v>5.5361000000000002</v>
      </c>
      <c r="AE60" s="21"/>
      <c r="AF60" s="21"/>
      <c r="AG60" s="21"/>
      <c r="AH60" s="21"/>
    </row>
    <row r="61" spans="2:34" x14ac:dyDescent="0.2">
      <c r="B61" t="s">
        <v>36</v>
      </c>
      <c r="C61" t="s">
        <v>36</v>
      </c>
      <c r="D61" t="s">
        <v>29</v>
      </c>
      <c r="E61" t="s">
        <v>21</v>
      </c>
      <c r="F61" t="s">
        <v>27</v>
      </c>
      <c r="G61" s="1">
        <v>959</v>
      </c>
      <c r="H61">
        <v>12.8262</v>
      </c>
      <c r="AA61" s="21"/>
      <c r="AB61" s="21" t="s">
        <v>0</v>
      </c>
      <c r="AC61" s="22">
        <v>6.9999999999999999E-4</v>
      </c>
      <c r="AD61" s="22">
        <v>9.3799999999999994E-3</v>
      </c>
      <c r="AE61" s="21"/>
      <c r="AF61" s="21"/>
      <c r="AG61" s="21"/>
      <c r="AH61" s="21"/>
    </row>
    <row r="62" spans="2:34" x14ac:dyDescent="0.2">
      <c r="B62" t="s">
        <v>36</v>
      </c>
      <c r="C62" t="s">
        <v>36</v>
      </c>
      <c r="D62" t="s">
        <v>29</v>
      </c>
      <c r="E62" t="s">
        <v>23</v>
      </c>
      <c r="F62" t="s">
        <v>27</v>
      </c>
      <c r="G62" s="1">
        <v>959</v>
      </c>
      <c r="H62">
        <v>15.660499999999999</v>
      </c>
      <c r="AA62" s="21" t="s">
        <v>37</v>
      </c>
      <c r="AB62" s="21" t="s">
        <v>37</v>
      </c>
      <c r="AC62" s="22">
        <v>1.52624</v>
      </c>
      <c r="AD62" s="22">
        <v>0.10972</v>
      </c>
      <c r="AE62" s="21"/>
      <c r="AF62" s="21"/>
      <c r="AG62" s="21"/>
      <c r="AH62" s="21"/>
    </row>
    <row r="63" spans="2:34" x14ac:dyDescent="0.2">
      <c r="B63" t="s">
        <v>36</v>
      </c>
      <c r="C63" t="s">
        <v>36</v>
      </c>
      <c r="D63" t="s">
        <v>30</v>
      </c>
      <c r="E63" t="s">
        <v>19</v>
      </c>
      <c r="F63" t="s">
        <v>31</v>
      </c>
      <c r="G63" s="1">
        <v>959</v>
      </c>
      <c r="H63">
        <v>6.8959999999999999</v>
      </c>
      <c r="AA63" s="21"/>
      <c r="AB63" s="21" t="s">
        <v>0</v>
      </c>
      <c r="AC63" s="22">
        <v>5.9000000000000003E-4</v>
      </c>
      <c r="AD63" s="22">
        <v>7.9299999999999995E-3</v>
      </c>
      <c r="AE63" s="21"/>
      <c r="AF63" s="21"/>
      <c r="AG63" s="21"/>
      <c r="AH63" s="21"/>
    </row>
    <row r="64" spans="2:34" x14ac:dyDescent="0.2">
      <c r="B64" t="s">
        <v>36</v>
      </c>
      <c r="C64" t="s">
        <v>36</v>
      </c>
      <c r="D64" t="s">
        <v>30</v>
      </c>
      <c r="E64" t="s">
        <v>21</v>
      </c>
      <c r="F64" t="s">
        <v>31</v>
      </c>
      <c r="G64" s="1">
        <v>959</v>
      </c>
      <c r="H64">
        <v>48.404000000000003</v>
      </c>
      <c r="AA64" s="21" t="s">
        <v>9</v>
      </c>
      <c r="AB64" s="21" t="s">
        <v>42</v>
      </c>
      <c r="AC64" s="22">
        <v>2.5000000000000001E-3</v>
      </c>
      <c r="AD64" s="22">
        <v>1.72</v>
      </c>
      <c r="AE64" s="21"/>
      <c r="AF64" s="21"/>
      <c r="AG64" s="21"/>
      <c r="AH64" s="21"/>
    </row>
    <row r="65" spans="2:34" x14ac:dyDescent="0.2">
      <c r="B65" t="s">
        <v>36</v>
      </c>
      <c r="C65" t="s">
        <v>36</v>
      </c>
      <c r="D65" t="s">
        <v>30</v>
      </c>
      <c r="E65" t="s">
        <v>23</v>
      </c>
      <c r="F65" t="s">
        <v>31</v>
      </c>
      <c r="G65" s="1">
        <v>959</v>
      </c>
      <c r="H65">
        <v>55.300000000000004</v>
      </c>
      <c r="AA65" s="21" t="s">
        <v>0</v>
      </c>
      <c r="AB65" s="21" t="s">
        <v>42</v>
      </c>
      <c r="AC65" s="22">
        <v>7.5999999999999998E-2</v>
      </c>
      <c r="AD65" s="22">
        <v>0.56499999999999995</v>
      </c>
      <c r="AE65" s="21"/>
      <c r="AF65" s="21"/>
      <c r="AG65" s="21"/>
      <c r="AH65" s="21"/>
    </row>
    <row r="66" spans="2:34" x14ac:dyDescent="0.2">
      <c r="B66" t="s">
        <v>36</v>
      </c>
      <c r="C66" t="s">
        <v>36</v>
      </c>
      <c r="D66" t="s">
        <v>32</v>
      </c>
      <c r="E66" t="s">
        <v>19</v>
      </c>
      <c r="F66" t="s">
        <v>31</v>
      </c>
      <c r="G66" s="1">
        <v>959</v>
      </c>
      <c r="H66">
        <v>4.4648000000000003</v>
      </c>
      <c r="AA66" s="21"/>
      <c r="AB66" s="21"/>
      <c r="AC66" s="21"/>
      <c r="AD66" s="21"/>
      <c r="AE66" s="21"/>
      <c r="AF66" s="21"/>
      <c r="AG66" s="21"/>
      <c r="AH66" s="21"/>
    </row>
    <row r="67" spans="2:34" x14ac:dyDescent="0.2">
      <c r="B67" t="s">
        <v>36</v>
      </c>
      <c r="C67" t="s">
        <v>36</v>
      </c>
      <c r="D67" t="s">
        <v>32</v>
      </c>
      <c r="E67" t="s">
        <v>21</v>
      </c>
      <c r="F67" t="s">
        <v>31</v>
      </c>
      <c r="G67" s="1">
        <v>959</v>
      </c>
      <c r="H67">
        <v>1.986</v>
      </c>
      <c r="AA67" s="21" t="s">
        <v>38</v>
      </c>
      <c r="AB67" s="21" t="s">
        <v>15</v>
      </c>
      <c r="AC67" s="21" t="s">
        <v>11</v>
      </c>
      <c r="AD67" s="21" t="s">
        <v>20</v>
      </c>
      <c r="AE67" s="21" t="s">
        <v>18</v>
      </c>
      <c r="AF67" s="21"/>
      <c r="AG67" s="21"/>
      <c r="AH67" s="21"/>
    </row>
    <row r="68" spans="2:34" x14ac:dyDescent="0.2">
      <c r="B68" t="s">
        <v>36</v>
      </c>
      <c r="C68" t="s">
        <v>36</v>
      </c>
      <c r="D68" t="s">
        <v>32</v>
      </c>
      <c r="E68" t="s">
        <v>23</v>
      </c>
      <c r="F68" t="s">
        <v>31</v>
      </c>
      <c r="G68" s="1">
        <v>959</v>
      </c>
      <c r="H68">
        <v>6.4508000000000001</v>
      </c>
      <c r="AA68" s="21" t="s">
        <v>0</v>
      </c>
      <c r="AB68" s="21" t="s">
        <v>31</v>
      </c>
      <c r="AC68" s="21" t="s">
        <v>4</v>
      </c>
      <c r="AD68" s="22">
        <v>11.23</v>
      </c>
      <c r="AE68" s="22">
        <v>0.71</v>
      </c>
      <c r="AF68" s="21"/>
      <c r="AG68" s="21"/>
      <c r="AH68" s="21"/>
    </row>
    <row r="69" spans="2:34" x14ac:dyDescent="0.2">
      <c r="B69" t="s">
        <v>36</v>
      </c>
      <c r="C69" t="s">
        <v>36</v>
      </c>
      <c r="D69" t="s">
        <v>33</v>
      </c>
      <c r="E69" t="s">
        <v>19</v>
      </c>
      <c r="F69" t="s">
        <v>31</v>
      </c>
      <c r="G69" s="1">
        <v>959</v>
      </c>
      <c r="H69">
        <v>5.5361000000000002</v>
      </c>
      <c r="AA69" s="21"/>
      <c r="AB69" s="21"/>
      <c r="AC69" s="21" t="s">
        <v>5</v>
      </c>
      <c r="AD69" s="22">
        <v>0.4</v>
      </c>
      <c r="AE69" s="22">
        <v>0.45</v>
      </c>
      <c r="AF69" s="21"/>
      <c r="AG69" s="21"/>
      <c r="AH69" s="21"/>
    </row>
    <row r="70" spans="2:34" x14ac:dyDescent="0.2">
      <c r="B70" t="s">
        <v>36</v>
      </c>
      <c r="C70" t="s">
        <v>36</v>
      </c>
      <c r="D70" t="s">
        <v>33</v>
      </c>
      <c r="E70" t="s">
        <v>21</v>
      </c>
      <c r="F70" t="s">
        <v>31</v>
      </c>
      <c r="G70" s="1">
        <v>959</v>
      </c>
      <c r="H70">
        <v>3.4169</v>
      </c>
      <c r="AA70" s="21"/>
      <c r="AB70" s="21"/>
      <c r="AC70" s="21" t="s">
        <v>7</v>
      </c>
      <c r="AD70" s="22">
        <v>0.23799999999999999</v>
      </c>
      <c r="AE70" s="22">
        <v>2.8000000000000001E-2</v>
      </c>
      <c r="AF70" s="21"/>
      <c r="AG70" s="21"/>
      <c r="AH70" s="21"/>
    </row>
    <row r="71" spans="2:34" x14ac:dyDescent="0.2">
      <c r="B71" t="s">
        <v>36</v>
      </c>
      <c r="C71" t="s">
        <v>36</v>
      </c>
      <c r="D71" t="s">
        <v>33</v>
      </c>
      <c r="E71" t="s">
        <v>23</v>
      </c>
      <c r="F71" t="s">
        <v>31</v>
      </c>
      <c r="G71" s="1">
        <v>959</v>
      </c>
      <c r="H71">
        <v>8.9529999999999994</v>
      </c>
      <c r="AA71" s="21"/>
      <c r="AB71" s="21"/>
      <c r="AC71" s="21" t="s">
        <v>6</v>
      </c>
      <c r="AD71" s="22">
        <v>7.5999999999999998E-2</v>
      </c>
      <c r="AE71" s="22">
        <v>0.56499999999999995</v>
      </c>
      <c r="AF71" s="21"/>
      <c r="AG71" s="21"/>
      <c r="AH71" s="21"/>
    </row>
    <row r="72" spans="2:34" x14ac:dyDescent="0.2">
      <c r="B72" t="s">
        <v>36</v>
      </c>
      <c r="C72" t="s">
        <v>36</v>
      </c>
      <c r="D72" t="s">
        <v>34</v>
      </c>
      <c r="E72" t="s">
        <v>19</v>
      </c>
      <c r="F72" t="s">
        <v>31</v>
      </c>
      <c r="G72" s="1">
        <v>959</v>
      </c>
      <c r="H72">
        <v>0.2641</v>
      </c>
      <c r="AA72" s="21"/>
      <c r="AB72" s="21" t="s">
        <v>46</v>
      </c>
      <c r="AC72" s="21" t="s">
        <v>28</v>
      </c>
      <c r="AD72" s="22">
        <v>18262</v>
      </c>
      <c r="AE72" s="22">
        <v>3636</v>
      </c>
      <c r="AF72" s="21"/>
      <c r="AG72" s="21"/>
      <c r="AH72" s="21"/>
    </row>
    <row r="73" spans="2:34" x14ac:dyDescent="0.2">
      <c r="B73" t="s">
        <v>36</v>
      </c>
      <c r="C73" t="s">
        <v>36</v>
      </c>
      <c r="D73" t="s">
        <v>34</v>
      </c>
      <c r="E73" t="s">
        <v>21</v>
      </c>
      <c r="F73" t="s">
        <v>31</v>
      </c>
      <c r="G73" s="1">
        <v>959</v>
      </c>
      <c r="H73">
        <v>0.40451999999999999</v>
      </c>
      <c r="AA73" s="21"/>
      <c r="AB73" s="21" t="s">
        <v>26</v>
      </c>
      <c r="AC73" s="21" t="s">
        <v>2</v>
      </c>
      <c r="AD73" s="22">
        <v>1.33</v>
      </c>
      <c r="AE73" s="22">
        <v>0.28999999999999998</v>
      </c>
      <c r="AF73" s="21"/>
      <c r="AG73" s="21"/>
      <c r="AH73" s="21"/>
    </row>
    <row r="74" spans="2:34" x14ac:dyDescent="0.2">
      <c r="B74" t="s">
        <v>36</v>
      </c>
      <c r="C74" t="s">
        <v>36</v>
      </c>
      <c r="D74" t="s">
        <v>34</v>
      </c>
      <c r="E74" t="s">
        <v>23</v>
      </c>
      <c r="F74" t="s">
        <v>31</v>
      </c>
      <c r="G74" s="1">
        <v>959</v>
      </c>
      <c r="H74">
        <v>0.66861999999999999</v>
      </c>
      <c r="AA74" s="21"/>
      <c r="AB74" s="21"/>
      <c r="AC74" s="21" t="s">
        <v>3</v>
      </c>
      <c r="AD74" s="22">
        <v>1.35</v>
      </c>
      <c r="AE74" s="22">
        <v>0.3</v>
      </c>
      <c r="AF74" s="21"/>
      <c r="AG74" s="21"/>
      <c r="AH74" s="21"/>
    </row>
    <row r="75" spans="2:34" x14ac:dyDescent="0.2">
      <c r="B75" t="s">
        <v>36</v>
      </c>
      <c r="C75" t="s">
        <v>8</v>
      </c>
      <c r="D75" t="s">
        <v>1</v>
      </c>
      <c r="E75" t="s">
        <v>19</v>
      </c>
      <c r="F75" t="s">
        <v>24</v>
      </c>
      <c r="G75" s="1">
        <v>36</v>
      </c>
      <c r="H75">
        <v>17</v>
      </c>
      <c r="AA75" s="21"/>
      <c r="AB75" s="21"/>
      <c r="AC75" s="21"/>
      <c r="AD75" s="21"/>
      <c r="AE75" s="21"/>
      <c r="AF75" s="21"/>
      <c r="AG75" s="21"/>
      <c r="AH75" s="21"/>
    </row>
    <row r="76" spans="2:34" x14ac:dyDescent="0.2">
      <c r="B76" t="s">
        <v>36</v>
      </c>
      <c r="C76" t="s">
        <v>8</v>
      </c>
      <c r="D76" t="s">
        <v>1</v>
      </c>
      <c r="E76" t="s">
        <v>21</v>
      </c>
      <c r="F76" t="s">
        <v>24</v>
      </c>
      <c r="G76" s="1">
        <v>36</v>
      </c>
      <c r="H76">
        <v>84</v>
      </c>
      <c r="AA76" s="21" t="s">
        <v>38</v>
      </c>
      <c r="AB76" s="21" t="s">
        <v>15</v>
      </c>
      <c r="AC76" s="21" t="s">
        <v>11</v>
      </c>
      <c r="AD76" s="21" t="s">
        <v>20</v>
      </c>
      <c r="AE76" s="21" t="s">
        <v>18</v>
      </c>
      <c r="AF76" s="21"/>
      <c r="AG76" s="21"/>
      <c r="AH76" s="21"/>
    </row>
    <row r="77" spans="2:34" x14ac:dyDescent="0.2">
      <c r="B77" t="s">
        <v>36</v>
      </c>
      <c r="C77" t="s">
        <v>8</v>
      </c>
      <c r="D77" t="s">
        <v>1</v>
      </c>
      <c r="E77" t="s">
        <v>23</v>
      </c>
      <c r="F77" t="s">
        <v>24</v>
      </c>
      <c r="G77" s="1">
        <v>36</v>
      </c>
      <c r="H77">
        <v>101</v>
      </c>
      <c r="AA77" s="21" t="s">
        <v>9</v>
      </c>
      <c r="AB77" s="21" t="s">
        <v>31</v>
      </c>
      <c r="AC77" s="21" t="s">
        <v>4</v>
      </c>
      <c r="AD77" s="22">
        <v>1.1599999999999999</v>
      </c>
      <c r="AE77" s="22">
        <v>1.98</v>
      </c>
      <c r="AF77" s="21"/>
      <c r="AG77" s="21"/>
      <c r="AH77" s="21"/>
    </row>
    <row r="78" spans="2:34" x14ac:dyDescent="0.2">
      <c r="B78" t="s">
        <v>36</v>
      </c>
      <c r="C78" t="s">
        <v>8</v>
      </c>
      <c r="D78" t="s">
        <v>25</v>
      </c>
      <c r="E78" t="s">
        <v>19</v>
      </c>
      <c r="F78" t="s">
        <v>27</v>
      </c>
      <c r="G78" s="1">
        <v>36</v>
      </c>
      <c r="H78">
        <v>5.0000000000000001E-3</v>
      </c>
      <c r="AA78" s="21"/>
      <c r="AB78" s="21"/>
      <c r="AC78" s="21" t="s">
        <v>5</v>
      </c>
      <c r="AD78" s="22">
        <v>5.2999999999999999E-2</v>
      </c>
      <c r="AE78" s="22">
        <v>5.0999999999999997E-2</v>
      </c>
      <c r="AF78" s="21"/>
      <c r="AG78" s="21"/>
      <c r="AH78" s="21"/>
    </row>
    <row r="79" spans="2:34" x14ac:dyDescent="0.2">
      <c r="B79" t="s">
        <v>36</v>
      </c>
      <c r="C79" t="s">
        <v>8</v>
      </c>
      <c r="D79" t="s">
        <v>25</v>
      </c>
      <c r="E79" t="s">
        <v>21</v>
      </c>
      <c r="F79" t="s">
        <v>27</v>
      </c>
      <c r="G79" s="1">
        <v>36</v>
      </c>
      <c r="H79">
        <v>2.24E-2</v>
      </c>
      <c r="AA79" s="21"/>
      <c r="AB79" s="21"/>
      <c r="AC79" s="21" t="s">
        <v>7</v>
      </c>
      <c r="AD79" s="22">
        <v>1.2999999999999999E-2</v>
      </c>
      <c r="AE79" s="22">
        <v>0.28000000000000003</v>
      </c>
      <c r="AF79" s="21"/>
      <c r="AG79" s="21"/>
      <c r="AH79" s="21"/>
    </row>
    <row r="80" spans="2:34" x14ac:dyDescent="0.2">
      <c r="B80" t="s">
        <v>36</v>
      </c>
      <c r="C80" t="s">
        <v>8</v>
      </c>
      <c r="D80" t="s">
        <v>25</v>
      </c>
      <c r="E80" t="s">
        <v>23</v>
      </c>
      <c r="F80" t="s">
        <v>27</v>
      </c>
      <c r="G80" s="1">
        <v>36</v>
      </c>
      <c r="H80">
        <v>2.7400000000000001E-2</v>
      </c>
      <c r="AA80" s="21"/>
      <c r="AB80" s="21"/>
      <c r="AC80" s="21" t="s">
        <v>6</v>
      </c>
      <c r="AD80" s="22">
        <v>2.5000000000000001E-3</v>
      </c>
      <c r="AE80" s="22">
        <v>1.72</v>
      </c>
      <c r="AF80" s="21"/>
      <c r="AG80" s="21"/>
      <c r="AH80" s="21"/>
    </row>
    <row r="81" spans="2:34" x14ac:dyDescent="0.2">
      <c r="B81" t="s">
        <v>36</v>
      </c>
      <c r="C81" t="s">
        <v>8</v>
      </c>
      <c r="D81" t="s">
        <v>29</v>
      </c>
      <c r="E81" t="s">
        <v>19</v>
      </c>
      <c r="F81" t="s">
        <v>27</v>
      </c>
      <c r="G81" s="1">
        <v>36</v>
      </c>
      <c r="H81">
        <v>4.7999999999999996E-3</v>
      </c>
      <c r="AA81" s="21"/>
      <c r="AB81" s="21" t="s">
        <v>24</v>
      </c>
      <c r="AC81" s="21" t="s">
        <v>1</v>
      </c>
      <c r="AD81" s="22">
        <v>3329</v>
      </c>
      <c r="AE81" s="22">
        <v>8124</v>
      </c>
      <c r="AF81" s="21"/>
      <c r="AG81" s="21"/>
      <c r="AH81" s="21"/>
    </row>
    <row r="82" spans="2:34" x14ac:dyDescent="0.2">
      <c r="B82" t="s">
        <v>36</v>
      </c>
      <c r="C82" t="s">
        <v>8</v>
      </c>
      <c r="D82" t="s">
        <v>29</v>
      </c>
      <c r="E82" t="s">
        <v>21</v>
      </c>
      <c r="F82" t="s">
        <v>27</v>
      </c>
      <c r="G82" s="1">
        <v>36</v>
      </c>
      <c r="H82">
        <v>2.2100000000000002E-2</v>
      </c>
      <c r="AA82" s="21"/>
      <c r="AB82" s="21" t="s">
        <v>26</v>
      </c>
      <c r="AC82" s="21" t="s">
        <v>2</v>
      </c>
      <c r="AD82" s="22">
        <v>0.08</v>
      </c>
      <c r="AE82" s="22">
        <v>0.69799999999999995</v>
      </c>
      <c r="AF82" s="21"/>
      <c r="AG82" s="21"/>
      <c r="AH82" s="21"/>
    </row>
    <row r="83" spans="2:34" x14ac:dyDescent="0.2">
      <c r="B83" t="s">
        <v>36</v>
      </c>
      <c r="C83" t="s">
        <v>8</v>
      </c>
      <c r="D83" t="s">
        <v>29</v>
      </c>
      <c r="E83" t="s">
        <v>23</v>
      </c>
      <c r="F83" t="s">
        <v>27</v>
      </c>
      <c r="G83" s="1">
        <v>36</v>
      </c>
      <c r="H83">
        <v>2.69E-2</v>
      </c>
      <c r="AA83" s="21"/>
      <c r="AB83" s="21"/>
      <c r="AC83" s="21" t="s">
        <v>3</v>
      </c>
      <c r="AD83" s="22">
        <v>8.1000000000000003E-2</v>
      </c>
      <c r="AE83" s="22">
        <v>0.75700000000000001</v>
      </c>
      <c r="AF83" s="21"/>
      <c r="AG83" s="21"/>
      <c r="AH83" s="21"/>
    </row>
    <row r="84" spans="2:34" x14ac:dyDescent="0.2">
      <c r="B84" t="s">
        <v>36</v>
      </c>
      <c r="C84" t="s">
        <v>8</v>
      </c>
      <c r="D84" t="s">
        <v>30</v>
      </c>
      <c r="E84" t="s">
        <v>19</v>
      </c>
      <c r="F84" t="s">
        <v>31</v>
      </c>
      <c r="G84" s="1">
        <v>36</v>
      </c>
      <c r="H84">
        <v>1.2E-2</v>
      </c>
      <c r="AA84" s="21"/>
      <c r="AB84" s="21"/>
      <c r="AC84" s="21"/>
      <c r="AD84" s="21"/>
      <c r="AE84" s="21"/>
      <c r="AF84" s="21"/>
      <c r="AG84" s="21"/>
      <c r="AH84" s="21"/>
    </row>
    <row r="85" spans="2:34" x14ac:dyDescent="0.2">
      <c r="B85" t="s">
        <v>36</v>
      </c>
      <c r="C85" t="s">
        <v>8</v>
      </c>
      <c r="D85" t="s">
        <v>30</v>
      </c>
      <c r="E85" t="s">
        <v>21</v>
      </c>
      <c r="F85" t="s">
        <v>31</v>
      </c>
      <c r="G85" s="1">
        <v>36</v>
      </c>
      <c r="H85">
        <v>6.2E-2</v>
      </c>
      <c r="AA85" s="21" t="s">
        <v>38</v>
      </c>
      <c r="AB85" s="21" t="s">
        <v>40</v>
      </c>
      <c r="AC85" s="21" t="s">
        <v>15</v>
      </c>
      <c r="AD85" s="21" t="s">
        <v>11</v>
      </c>
      <c r="AE85" s="21" t="s">
        <v>47</v>
      </c>
      <c r="AF85" s="21" t="s">
        <v>48</v>
      </c>
      <c r="AG85" s="21" t="s">
        <v>49</v>
      </c>
      <c r="AH85" s="21" t="s">
        <v>50</v>
      </c>
    </row>
    <row r="86" spans="2:34" x14ac:dyDescent="0.2">
      <c r="B86" t="s">
        <v>36</v>
      </c>
      <c r="C86" t="s">
        <v>8</v>
      </c>
      <c r="D86" t="s">
        <v>30</v>
      </c>
      <c r="E86" t="s">
        <v>23</v>
      </c>
      <c r="F86" t="s">
        <v>31</v>
      </c>
      <c r="G86" s="1">
        <v>36</v>
      </c>
      <c r="H86">
        <v>7.3999999999999996E-2</v>
      </c>
      <c r="AA86" s="21" t="s">
        <v>36</v>
      </c>
      <c r="AB86" s="21" t="s">
        <v>36</v>
      </c>
      <c r="AC86" s="21" t="s">
        <v>31</v>
      </c>
      <c r="AD86" s="21" t="s">
        <v>4</v>
      </c>
      <c r="AE86" s="22">
        <v>48.404000000000003</v>
      </c>
      <c r="AF86" s="22">
        <v>6.8959999999999999</v>
      </c>
      <c r="AG86" s="22">
        <v>6.2E-2</v>
      </c>
      <c r="AH86" s="22">
        <v>1.2E-2</v>
      </c>
    </row>
    <row r="87" spans="2:34" x14ac:dyDescent="0.2">
      <c r="B87" t="s">
        <v>36</v>
      </c>
      <c r="C87" t="s">
        <v>8</v>
      </c>
      <c r="D87" t="s">
        <v>32</v>
      </c>
      <c r="E87" t="s">
        <v>19</v>
      </c>
      <c r="F87" t="s">
        <v>31</v>
      </c>
      <c r="G87" s="1">
        <v>36</v>
      </c>
      <c r="H87">
        <v>7.4999999999999997E-3</v>
      </c>
      <c r="AA87" s="21"/>
      <c r="AB87" s="21"/>
      <c r="AC87" s="21"/>
      <c r="AD87" s="21" t="s">
        <v>5</v>
      </c>
      <c r="AE87" s="22">
        <v>1.986</v>
      </c>
      <c r="AF87" s="22">
        <v>4.4648000000000003</v>
      </c>
      <c r="AG87" s="22">
        <v>1E-3</v>
      </c>
      <c r="AH87" s="22">
        <v>7.4999999999999997E-3</v>
      </c>
    </row>
    <row r="88" spans="2:34" x14ac:dyDescent="0.2">
      <c r="B88" t="s">
        <v>36</v>
      </c>
      <c r="C88" t="s">
        <v>8</v>
      </c>
      <c r="D88" t="s">
        <v>32</v>
      </c>
      <c r="E88" t="s">
        <v>21</v>
      </c>
      <c r="F88" t="s">
        <v>31</v>
      </c>
      <c r="G88" s="1">
        <v>36</v>
      </c>
      <c r="H88">
        <v>1E-3</v>
      </c>
      <c r="AA88" s="21"/>
      <c r="AB88" s="21"/>
      <c r="AC88" s="21"/>
      <c r="AD88" s="21" t="s">
        <v>7</v>
      </c>
      <c r="AE88" s="22">
        <v>0.40451999999999999</v>
      </c>
      <c r="AF88" s="22">
        <v>0.2641</v>
      </c>
      <c r="AG88" s="22">
        <v>1.0399999999999999E-3</v>
      </c>
      <c r="AH88" s="22">
        <v>4.4999999999999999E-4</v>
      </c>
    </row>
    <row r="89" spans="2:34" x14ac:dyDescent="0.2">
      <c r="B89" t="s">
        <v>36</v>
      </c>
      <c r="C89" t="s">
        <v>8</v>
      </c>
      <c r="D89" t="s">
        <v>32</v>
      </c>
      <c r="E89" t="s">
        <v>23</v>
      </c>
      <c r="F89" t="s">
        <v>31</v>
      </c>
      <c r="G89" s="1">
        <v>36</v>
      </c>
      <c r="H89">
        <v>8.5000000000000006E-3</v>
      </c>
      <c r="AA89" s="21"/>
      <c r="AB89" s="21"/>
      <c r="AC89" s="21"/>
      <c r="AD89" s="21" t="s">
        <v>6</v>
      </c>
      <c r="AE89" s="22">
        <v>3.4169</v>
      </c>
      <c r="AF89" s="22">
        <v>5.5361000000000002</v>
      </c>
      <c r="AG89" s="22">
        <v>6.9999999999999999E-4</v>
      </c>
      <c r="AH89" s="22">
        <v>9.3799999999999994E-3</v>
      </c>
    </row>
    <row r="90" spans="2:34" x14ac:dyDescent="0.2">
      <c r="B90" t="s">
        <v>36</v>
      </c>
      <c r="C90" t="s">
        <v>8</v>
      </c>
      <c r="D90" t="s">
        <v>33</v>
      </c>
      <c r="E90" t="s">
        <v>19</v>
      </c>
      <c r="F90" t="s">
        <v>31</v>
      </c>
      <c r="G90" s="1">
        <v>36</v>
      </c>
      <c r="H90">
        <v>9.3799999999999994E-3</v>
      </c>
      <c r="AA90" s="21"/>
      <c r="AB90" s="21"/>
      <c r="AC90" s="21" t="s">
        <v>24</v>
      </c>
      <c r="AD90" s="21" t="s">
        <v>1</v>
      </c>
      <c r="AE90" s="22">
        <v>49830</v>
      </c>
      <c r="AF90" s="22">
        <v>9491</v>
      </c>
      <c r="AG90" s="22">
        <v>84</v>
      </c>
      <c r="AH90" s="22">
        <v>17</v>
      </c>
    </row>
    <row r="91" spans="2:34" x14ac:dyDescent="0.2">
      <c r="B91" t="s">
        <v>36</v>
      </c>
      <c r="C91" t="s">
        <v>8</v>
      </c>
      <c r="D91" t="s">
        <v>33</v>
      </c>
      <c r="E91" t="s">
        <v>21</v>
      </c>
      <c r="F91" t="s">
        <v>31</v>
      </c>
      <c r="G91" s="1">
        <v>36</v>
      </c>
      <c r="H91">
        <v>6.9999999999999999E-4</v>
      </c>
      <c r="AA91" s="21"/>
      <c r="AB91" s="21"/>
      <c r="AC91" s="21" t="s">
        <v>26</v>
      </c>
      <c r="AD91" s="21" t="s">
        <v>2</v>
      </c>
      <c r="AE91" s="22">
        <v>12.8262</v>
      </c>
      <c r="AF91" s="22">
        <v>2.8342999999999998</v>
      </c>
      <c r="AG91" s="22">
        <v>2.2100000000000002E-2</v>
      </c>
      <c r="AH91" s="22">
        <v>4.7999999999999996E-3</v>
      </c>
    </row>
    <row r="92" spans="2:34" x14ac:dyDescent="0.2">
      <c r="B92" t="s">
        <v>36</v>
      </c>
      <c r="C92" t="s">
        <v>8</v>
      </c>
      <c r="D92" t="s">
        <v>33</v>
      </c>
      <c r="E92" t="s">
        <v>23</v>
      </c>
      <c r="F92" t="s">
        <v>31</v>
      </c>
      <c r="G92" s="1">
        <v>36</v>
      </c>
      <c r="H92">
        <v>1.0079999999999999E-2</v>
      </c>
      <c r="AA92" s="21"/>
      <c r="AB92" s="21"/>
      <c r="AC92" s="21"/>
      <c r="AD92" s="21" t="s">
        <v>3</v>
      </c>
      <c r="AE92" s="22">
        <v>12.9338</v>
      </c>
      <c r="AF92" s="22">
        <v>2.8523000000000001</v>
      </c>
      <c r="AG92" s="22">
        <v>2.24E-2</v>
      </c>
      <c r="AH92" s="22">
        <v>5.0000000000000001E-3</v>
      </c>
    </row>
    <row r="93" spans="2:34" x14ac:dyDescent="0.2">
      <c r="B93" t="s">
        <v>36</v>
      </c>
      <c r="C93" t="s">
        <v>8</v>
      </c>
      <c r="D93" t="s">
        <v>34</v>
      </c>
      <c r="E93" t="s">
        <v>19</v>
      </c>
      <c r="F93" t="s">
        <v>31</v>
      </c>
      <c r="G93" s="1">
        <v>36</v>
      </c>
      <c r="H93">
        <v>4.4999999999999999E-4</v>
      </c>
      <c r="AA93" s="21"/>
      <c r="AB93" s="21"/>
      <c r="AC93" s="21"/>
      <c r="AD93" s="21"/>
      <c r="AE93" s="21"/>
      <c r="AF93" s="21"/>
      <c r="AG93" s="21"/>
      <c r="AH93" s="21"/>
    </row>
    <row r="94" spans="2:34" x14ac:dyDescent="0.2">
      <c r="B94" t="s">
        <v>36</v>
      </c>
      <c r="C94" t="s">
        <v>8</v>
      </c>
      <c r="D94" t="s">
        <v>34</v>
      </c>
      <c r="E94" t="s">
        <v>21</v>
      </c>
      <c r="F94" t="s">
        <v>31</v>
      </c>
      <c r="G94" s="1">
        <v>36</v>
      </c>
      <c r="H94">
        <v>1.0399999999999999E-3</v>
      </c>
      <c r="AA94" s="21" t="s">
        <v>38</v>
      </c>
      <c r="AB94" s="21" t="s">
        <v>40</v>
      </c>
      <c r="AC94" s="21" t="s">
        <v>15</v>
      </c>
      <c r="AD94" s="21" t="s">
        <v>11</v>
      </c>
      <c r="AE94" s="21" t="s">
        <v>51</v>
      </c>
      <c r="AF94" s="21" t="s">
        <v>52</v>
      </c>
      <c r="AG94" s="21" t="s">
        <v>49</v>
      </c>
      <c r="AH94" s="21" t="s">
        <v>50</v>
      </c>
    </row>
    <row r="95" spans="2:34" x14ac:dyDescent="0.2">
      <c r="B95" t="s">
        <v>36</v>
      </c>
      <c r="C95" t="s">
        <v>8</v>
      </c>
      <c r="D95" t="s">
        <v>34</v>
      </c>
      <c r="E95" t="s">
        <v>23</v>
      </c>
      <c r="F95" t="s">
        <v>31</v>
      </c>
      <c r="G95" s="1">
        <v>36</v>
      </c>
      <c r="H95">
        <v>1.49E-3</v>
      </c>
      <c r="AA95" s="21" t="s">
        <v>37</v>
      </c>
      <c r="AB95" s="21" t="s">
        <v>37</v>
      </c>
      <c r="AC95" s="21" t="s">
        <v>31</v>
      </c>
      <c r="AD95" s="21" t="s">
        <v>4</v>
      </c>
      <c r="AE95" s="22">
        <v>1.8494999999999999</v>
      </c>
      <c r="AF95" s="22">
        <v>4.8899999999999999E-2</v>
      </c>
      <c r="AG95" s="22">
        <v>5.3800000000000001E-2</v>
      </c>
      <c r="AH95" s="22">
        <v>0.01</v>
      </c>
    </row>
    <row r="96" spans="2:34" x14ac:dyDescent="0.2">
      <c r="B96" t="s">
        <v>37</v>
      </c>
      <c r="C96" t="s">
        <v>37</v>
      </c>
      <c r="D96" t="s">
        <v>1</v>
      </c>
      <c r="E96" t="s">
        <v>19</v>
      </c>
      <c r="F96" t="s">
        <v>24</v>
      </c>
      <c r="G96" s="1">
        <v>934</v>
      </c>
      <c r="H96">
        <v>31</v>
      </c>
      <c r="AA96" s="21"/>
      <c r="AB96" s="21"/>
      <c r="AC96" s="21"/>
      <c r="AD96" s="21" t="s">
        <v>5</v>
      </c>
      <c r="AE96" s="22">
        <v>6.7409999999999998E-2</v>
      </c>
      <c r="AF96" s="22">
        <v>4.0800000000000003E-2</v>
      </c>
      <c r="AG96" s="22">
        <v>8.5999999999999998E-4</v>
      </c>
      <c r="AH96" s="22">
        <v>6.3499999999999997E-3</v>
      </c>
    </row>
    <row r="97" spans="2:34" x14ac:dyDescent="0.2">
      <c r="B97" t="s">
        <v>37</v>
      </c>
      <c r="C97" t="s">
        <v>37</v>
      </c>
      <c r="D97" t="s">
        <v>1</v>
      </c>
      <c r="E97" t="s">
        <v>21</v>
      </c>
      <c r="F97" t="s">
        <v>24</v>
      </c>
      <c r="G97" s="1">
        <v>934</v>
      </c>
      <c r="H97">
        <v>350</v>
      </c>
      <c r="AA97" s="21"/>
      <c r="AB97" s="21"/>
      <c r="AC97" s="21"/>
      <c r="AD97" s="21" t="s">
        <v>7</v>
      </c>
      <c r="AE97" s="22">
        <v>0.19542999999999999</v>
      </c>
      <c r="AF97" s="22">
        <v>2.512E-2</v>
      </c>
      <c r="AG97" s="22">
        <v>8.8999999999999995E-4</v>
      </c>
      <c r="AH97" s="22">
        <v>3.8000000000000002E-4</v>
      </c>
    </row>
    <row r="98" spans="2:34" x14ac:dyDescent="0.2">
      <c r="B98" t="s">
        <v>37</v>
      </c>
      <c r="C98" t="s">
        <v>37</v>
      </c>
      <c r="D98" t="s">
        <v>1</v>
      </c>
      <c r="E98" t="s">
        <v>23</v>
      </c>
      <c r="F98" t="s">
        <v>24</v>
      </c>
      <c r="G98" s="1">
        <v>934</v>
      </c>
      <c r="H98">
        <v>381</v>
      </c>
      <c r="AA98" s="21"/>
      <c r="AB98" s="21"/>
      <c r="AC98" s="21"/>
      <c r="AD98" s="21" t="s">
        <v>6</v>
      </c>
      <c r="AE98" s="22">
        <v>1.52624</v>
      </c>
      <c r="AF98" s="22">
        <v>0.10972</v>
      </c>
      <c r="AG98" s="22">
        <v>5.9000000000000003E-4</v>
      </c>
      <c r="AH98" s="22">
        <v>7.9299999999999995E-3</v>
      </c>
    </row>
    <row r="99" spans="2:34" x14ac:dyDescent="0.2">
      <c r="B99" t="s">
        <v>37</v>
      </c>
      <c r="C99" t="s">
        <v>37</v>
      </c>
      <c r="D99" t="s">
        <v>25</v>
      </c>
      <c r="E99" t="s">
        <v>19</v>
      </c>
      <c r="F99" t="s">
        <v>27</v>
      </c>
      <c r="G99" s="1">
        <v>934</v>
      </c>
      <c r="H99">
        <v>8.3000000000000001E-3</v>
      </c>
      <c r="AA99" s="21"/>
      <c r="AB99" s="21"/>
      <c r="AC99" s="21" t="s">
        <v>24</v>
      </c>
      <c r="AD99" s="21" t="s">
        <v>1</v>
      </c>
      <c r="AE99" s="22">
        <v>350</v>
      </c>
      <c r="AF99" s="22">
        <v>31</v>
      </c>
      <c r="AG99" s="22">
        <v>71</v>
      </c>
      <c r="AH99" s="22">
        <v>14</v>
      </c>
    </row>
    <row r="100" spans="2:34" x14ac:dyDescent="0.2">
      <c r="B100" t="s">
        <v>37</v>
      </c>
      <c r="C100" t="s">
        <v>37</v>
      </c>
      <c r="D100" t="s">
        <v>25</v>
      </c>
      <c r="E100" t="s">
        <v>21</v>
      </c>
      <c r="F100" t="s">
        <v>27</v>
      </c>
      <c r="G100" s="1">
        <v>934</v>
      </c>
      <c r="H100">
        <v>9.7900000000000001E-2</v>
      </c>
      <c r="AA100" s="21"/>
      <c r="AB100" s="21"/>
      <c r="AC100" s="21" t="s">
        <v>26</v>
      </c>
      <c r="AD100" s="21" t="s">
        <v>2</v>
      </c>
      <c r="AE100" s="22">
        <v>9.7600000000000006E-2</v>
      </c>
      <c r="AF100" s="22">
        <v>8.3000000000000001E-3</v>
      </c>
      <c r="AG100" s="22">
        <v>1.8599999999999998E-2</v>
      </c>
      <c r="AH100" s="22">
        <v>4.1000000000000003E-3</v>
      </c>
    </row>
    <row r="101" spans="2:34" x14ac:dyDescent="0.2">
      <c r="B101" t="s">
        <v>37</v>
      </c>
      <c r="C101" t="s">
        <v>37</v>
      </c>
      <c r="D101" t="s">
        <v>25</v>
      </c>
      <c r="E101" t="s">
        <v>23</v>
      </c>
      <c r="F101" t="s">
        <v>27</v>
      </c>
      <c r="G101" s="1">
        <v>934</v>
      </c>
      <c r="H101">
        <v>0.1062</v>
      </c>
      <c r="AA101" s="21"/>
      <c r="AB101" s="21"/>
      <c r="AC101" s="21"/>
      <c r="AD101" s="21" t="s">
        <v>3</v>
      </c>
      <c r="AE101" s="22">
        <v>9.7900000000000001E-2</v>
      </c>
      <c r="AF101" s="22">
        <v>8.3000000000000001E-3</v>
      </c>
      <c r="AG101" s="22">
        <v>1.9E-2</v>
      </c>
      <c r="AH101" s="22">
        <v>4.1999999999999997E-3</v>
      </c>
    </row>
    <row r="102" spans="2:34" x14ac:dyDescent="0.2">
      <c r="B102" t="s">
        <v>37</v>
      </c>
      <c r="C102" t="s">
        <v>37</v>
      </c>
      <c r="D102" t="s">
        <v>29</v>
      </c>
      <c r="E102" t="s">
        <v>19</v>
      </c>
      <c r="F102" t="s">
        <v>27</v>
      </c>
      <c r="G102" s="1">
        <v>934</v>
      </c>
      <c r="H102">
        <v>8.3000000000000001E-3</v>
      </c>
    </row>
    <row r="103" spans="2:34" x14ac:dyDescent="0.2">
      <c r="B103" t="s">
        <v>37</v>
      </c>
      <c r="C103" t="s">
        <v>37</v>
      </c>
      <c r="D103" t="s">
        <v>29</v>
      </c>
      <c r="E103" t="s">
        <v>21</v>
      </c>
      <c r="F103" t="s">
        <v>27</v>
      </c>
      <c r="G103" s="1">
        <v>934</v>
      </c>
      <c r="H103">
        <v>9.7600000000000006E-2</v>
      </c>
    </row>
    <row r="104" spans="2:34" x14ac:dyDescent="0.2">
      <c r="B104" t="s">
        <v>37</v>
      </c>
      <c r="C104" t="s">
        <v>37</v>
      </c>
      <c r="D104" t="s">
        <v>29</v>
      </c>
      <c r="E104" t="s">
        <v>23</v>
      </c>
      <c r="F104" t="s">
        <v>27</v>
      </c>
      <c r="G104" s="1">
        <v>934</v>
      </c>
      <c r="H104">
        <v>0.10590000000000001</v>
      </c>
    </row>
    <row r="105" spans="2:34" x14ac:dyDescent="0.2">
      <c r="B105" t="s">
        <v>37</v>
      </c>
      <c r="C105" t="s">
        <v>37</v>
      </c>
      <c r="D105" t="s">
        <v>30</v>
      </c>
      <c r="E105" t="s">
        <v>19</v>
      </c>
      <c r="F105" t="s">
        <v>31</v>
      </c>
      <c r="G105" s="1">
        <v>934</v>
      </c>
      <c r="H105">
        <v>4.8899999999999999E-2</v>
      </c>
    </row>
    <row r="106" spans="2:34" x14ac:dyDescent="0.2">
      <c r="B106" t="s">
        <v>37</v>
      </c>
      <c r="C106" t="s">
        <v>37</v>
      </c>
      <c r="D106" t="s">
        <v>30</v>
      </c>
      <c r="E106" t="s">
        <v>21</v>
      </c>
      <c r="F106" t="s">
        <v>31</v>
      </c>
      <c r="G106" s="1">
        <v>934</v>
      </c>
      <c r="H106">
        <v>1.8494999999999999</v>
      </c>
    </row>
    <row r="107" spans="2:34" x14ac:dyDescent="0.2">
      <c r="B107" t="s">
        <v>37</v>
      </c>
      <c r="C107" t="s">
        <v>37</v>
      </c>
      <c r="D107" t="s">
        <v>30</v>
      </c>
      <c r="E107" t="s">
        <v>23</v>
      </c>
      <c r="F107" t="s">
        <v>31</v>
      </c>
      <c r="G107" s="1">
        <v>934</v>
      </c>
      <c r="H107">
        <v>1.8983999999999999</v>
      </c>
    </row>
    <row r="108" spans="2:34" x14ac:dyDescent="0.2">
      <c r="B108" t="s">
        <v>37</v>
      </c>
      <c r="C108" t="s">
        <v>37</v>
      </c>
      <c r="D108" t="s">
        <v>32</v>
      </c>
      <c r="E108" t="s">
        <v>19</v>
      </c>
      <c r="F108" t="s">
        <v>31</v>
      </c>
      <c r="G108" s="1">
        <v>934</v>
      </c>
      <c r="H108">
        <v>4.0800000000000003E-2</v>
      </c>
    </row>
    <row r="109" spans="2:34" x14ac:dyDescent="0.2">
      <c r="B109" t="s">
        <v>37</v>
      </c>
      <c r="C109" t="s">
        <v>37</v>
      </c>
      <c r="D109" t="s">
        <v>32</v>
      </c>
      <c r="E109" t="s">
        <v>21</v>
      </c>
      <c r="F109" t="s">
        <v>31</v>
      </c>
      <c r="G109" s="1">
        <v>934</v>
      </c>
      <c r="H109">
        <v>6.7409999999999998E-2</v>
      </c>
    </row>
    <row r="110" spans="2:34" x14ac:dyDescent="0.2">
      <c r="B110" t="s">
        <v>37</v>
      </c>
      <c r="C110" t="s">
        <v>37</v>
      </c>
      <c r="D110" t="s">
        <v>32</v>
      </c>
      <c r="E110" t="s">
        <v>23</v>
      </c>
      <c r="F110" t="s">
        <v>31</v>
      </c>
      <c r="G110" s="1">
        <v>934</v>
      </c>
      <c r="H110">
        <v>0.10821</v>
      </c>
    </row>
    <row r="111" spans="2:34" x14ac:dyDescent="0.2">
      <c r="B111" t="s">
        <v>37</v>
      </c>
      <c r="C111" t="s">
        <v>37</v>
      </c>
      <c r="D111" t="s">
        <v>33</v>
      </c>
      <c r="E111" t="s">
        <v>19</v>
      </c>
      <c r="F111" t="s">
        <v>31</v>
      </c>
      <c r="G111" s="1">
        <v>934</v>
      </c>
      <c r="H111">
        <v>0.10972</v>
      </c>
    </row>
    <row r="112" spans="2:34" x14ac:dyDescent="0.2">
      <c r="B112" t="s">
        <v>37</v>
      </c>
      <c r="C112" t="s">
        <v>37</v>
      </c>
      <c r="D112" t="s">
        <v>33</v>
      </c>
      <c r="E112" t="s">
        <v>21</v>
      </c>
      <c r="F112" t="s">
        <v>31</v>
      </c>
      <c r="G112" s="1">
        <v>934</v>
      </c>
      <c r="H112">
        <v>1.52624</v>
      </c>
    </row>
    <row r="113" spans="2:17" x14ac:dyDescent="0.2">
      <c r="B113" t="s">
        <v>37</v>
      </c>
      <c r="C113" t="s">
        <v>37</v>
      </c>
      <c r="D113" t="s">
        <v>33</v>
      </c>
      <c r="E113" t="s">
        <v>23</v>
      </c>
      <c r="F113" t="s">
        <v>31</v>
      </c>
      <c r="G113" s="1">
        <v>934</v>
      </c>
      <c r="H113">
        <v>1.6359600000000001</v>
      </c>
    </row>
    <row r="114" spans="2:17" x14ac:dyDescent="0.2">
      <c r="B114" t="s">
        <v>37</v>
      </c>
      <c r="C114" t="s">
        <v>37</v>
      </c>
      <c r="D114" t="s">
        <v>34</v>
      </c>
      <c r="E114" t="s">
        <v>19</v>
      </c>
      <c r="F114" t="s">
        <v>31</v>
      </c>
      <c r="G114" s="1">
        <v>934</v>
      </c>
      <c r="H114">
        <v>2.512E-2</v>
      </c>
    </row>
    <row r="115" spans="2:17" x14ac:dyDescent="0.2">
      <c r="B115" t="s">
        <v>37</v>
      </c>
      <c r="C115" t="s">
        <v>37</v>
      </c>
      <c r="D115" t="s">
        <v>34</v>
      </c>
      <c r="E115" t="s">
        <v>21</v>
      </c>
      <c r="F115" t="s">
        <v>31</v>
      </c>
      <c r="G115" s="1">
        <v>934</v>
      </c>
      <c r="H115">
        <v>0.19542999999999999</v>
      </c>
    </row>
    <row r="116" spans="2:17" ht="21" x14ac:dyDescent="0.25">
      <c r="B116" t="s">
        <v>37</v>
      </c>
      <c r="C116" t="s">
        <v>37</v>
      </c>
      <c r="D116" t="s">
        <v>34</v>
      </c>
      <c r="E116" t="s">
        <v>23</v>
      </c>
      <c r="F116" t="s">
        <v>31</v>
      </c>
      <c r="G116" s="1">
        <v>934</v>
      </c>
      <c r="H116">
        <v>0.22055</v>
      </c>
      <c r="L116" s="19" t="s">
        <v>54</v>
      </c>
    </row>
    <row r="117" spans="2:17" x14ac:dyDescent="0.2">
      <c r="B117" t="s">
        <v>37</v>
      </c>
      <c r="C117" t="s">
        <v>8</v>
      </c>
      <c r="D117" t="s">
        <v>1</v>
      </c>
      <c r="E117" t="s">
        <v>19</v>
      </c>
      <c r="F117" t="s">
        <v>24</v>
      </c>
      <c r="G117" s="1">
        <v>30</v>
      </c>
      <c r="H117">
        <v>14</v>
      </c>
    </row>
    <row r="118" spans="2:17" x14ac:dyDescent="0.2">
      <c r="B118" t="s">
        <v>37</v>
      </c>
      <c r="C118" t="s">
        <v>8</v>
      </c>
      <c r="D118" t="s">
        <v>1</v>
      </c>
      <c r="E118" t="s">
        <v>21</v>
      </c>
      <c r="F118" t="s">
        <v>24</v>
      </c>
      <c r="G118" s="1">
        <v>30</v>
      </c>
      <c r="H118">
        <v>71</v>
      </c>
      <c r="P118" s="20"/>
      <c r="Q118" s="20"/>
    </row>
    <row r="119" spans="2:17" x14ac:dyDescent="0.2">
      <c r="B119" t="s">
        <v>37</v>
      </c>
      <c r="C119" t="s">
        <v>8</v>
      </c>
      <c r="D119" t="s">
        <v>1</v>
      </c>
      <c r="E119" t="s">
        <v>23</v>
      </c>
      <c r="F119" t="s">
        <v>24</v>
      </c>
      <c r="G119" s="1">
        <v>30</v>
      </c>
      <c r="H119">
        <v>85</v>
      </c>
      <c r="P119" s="20"/>
      <c r="Q119" s="20"/>
    </row>
    <row r="120" spans="2:17" x14ac:dyDescent="0.2">
      <c r="B120" t="s">
        <v>37</v>
      </c>
      <c r="C120" t="s">
        <v>8</v>
      </c>
      <c r="D120" t="s">
        <v>25</v>
      </c>
      <c r="E120" t="s">
        <v>19</v>
      </c>
      <c r="F120" t="s">
        <v>27</v>
      </c>
      <c r="G120" s="1">
        <v>30</v>
      </c>
      <c r="H120">
        <v>4.1999999999999997E-3</v>
      </c>
      <c r="P120" s="20"/>
      <c r="Q120" s="20"/>
    </row>
    <row r="121" spans="2:17" x14ac:dyDescent="0.2">
      <c r="B121" t="s">
        <v>37</v>
      </c>
      <c r="C121" t="s">
        <v>8</v>
      </c>
      <c r="D121" t="s">
        <v>25</v>
      </c>
      <c r="E121" t="s">
        <v>21</v>
      </c>
      <c r="F121" t="s">
        <v>27</v>
      </c>
      <c r="G121" s="1">
        <v>30</v>
      </c>
      <c r="H121">
        <v>1.9E-2</v>
      </c>
      <c r="P121" s="20"/>
      <c r="Q121" s="20"/>
    </row>
    <row r="122" spans="2:17" x14ac:dyDescent="0.2">
      <c r="B122" t="s">
        <v>37</v>
      </c>
      <c r="C122" t="s">
        <v>8</v>
      </c>
      <c r="D122" t="s">
        <v>25</v>
      </c>
      <c r="E122" t="s">
        <v>23</v>
      </c>
      <c r="F122" t="s">
        <v>27</v>
      </c>
      <c r="G122" s="1">
        <v>30</v>
      </c>
      <c r="H122">
        <v>2.3199999999999998E-2</v>
      </c>
      <c r="P122" s="20"/>
      <c r="Q122" s="20"/>
    </row>
    <row r="123" spans="2:17" x14ac:dyDescent="0.2">
      <c r="B123" t="s">
        <v>37</v>
      </c>
      <c r="C123" t="s">
        <v>8</v>
      </c>
      <c r="D123" t="s">
        <v>29</v>
      </c>
      <c r="E123" t="s">
        <v>19</v>
      </c>
      <c r="F123" t="s">
        <v>27</v>
      </c>
      <c r="G123" s="1">
        <v>30</v>
      </c>
      <c r="H123">
        <v>4.1000000000000003E-3</v>
      </c>
      <c r="P123" s="20"/>
      <c r="Q123" s="20"/>
    </row>
    <row r="124" spans="2:17" x14ac:dyDescent="0.2">
      <c r="B124" t="s">
        <v>37</v>
      </c>
      <c r="C124" t="s">
        <v>8</v>
      </c>
      <c r="D124" t="s">
        <v>29</v>
      </c>
      <c r="E124" t="s">
        <v>21</v>
      </c>
      <c r="F124" t="s">
        <v>27</v>
      </c>
      <c r="G124" s="1">
        <v>30</v>
      </c>
      <c r="H124">
        <v>1.8599999999999998E-2</v>
      </c>
      <c r="P124" s="20"/>
      <c r="Q124" s="20"/>
    </row>
    <row r="125" spans="2:17" x14ac:dyDescent="0.2">
      <c r="B125" t="s">
        <v>37</v>
      </c>
      <c r="C125" t="s">
        <v>8</v>
      </c>
      <c r="D125" t="s">
        <v>29</v>
      </c>
      <c r="E125" t="s">
        <v>23</v>
      </c>
      <c r="F125" t="s">
        <v>27</v>
      </c>
      <c r="G125" s="1">
        <v>30</v>
      </c>
      <c r="H125">
        <v>2.2699999999999998E-2</v>
      </c>
    </row>
    <row r="126" spans="2:17" x14ac:dyDescent="0.2">
      <c r="B126" t="s">
        <v>37</v>
      </c>
      <c r="C126" t="s">
        <v>8</v>
      </c>
      <c r="D126" t="s">
        <v>30</v>
      </c>
      <c r="E126" t="s">
        <v>19</v>
      </c>
      <c r="F126" t="s">
        <v>31</v>
      </c>
      <c r="G126" s="1">
        <v>30</v>
      </c>
      <c r="H126">
        <v>0.01</v>
      </c>
    </row>
    <row r="127" spans="2:17" x14ac:dyDescent="0.2">
      <c r="B127" t="s">
        <v>37</v>
      </c>
      <c r="C127" t="s">
        <v>8</v>
      </c>
      <c r="D127" t="s">
        <v>30</v>
      </c>
      <c r="E127" t="s">
        <v>21</v>
      </c>
      <c r="F127" t="s">
        <v>31</v>
      </c>
      <c r="G127" s="1">
        <v>30</v>
      </c>
      <c r="H127">
        <v>5.3800000000000001E-2</v>
      </c>
    </row>
    <row r="128" spans="2:17" x14ac:dyDescent="0.2">
      <c r="B128" t="s">
        <v>37</v>
      </c>
      <c r="C128" t="s">
        <v>8</v>
      </c>
      <c r="D128" t="s">
        <v>30</v>
      </c>
      <c r="E128" t="s">
        <v>23</v>
      </c>
      <c r="F128" t="s">
        <v>31</v>
      </c>
      <c r="G128" s="1">
        <v>30</v>
      </c>
      <c r="H128">
        <v>6.3799999999999996E-2</v>
      </c>
    </row>
    <row r="129" spans="2:8" x14ac:dyDescent="0.2">
      <c r="B129" t="s">
        <v>37</v>
      </c>
      <c r="C129" t="s">
        <v>8</v>
      </c>
      <c r="D129" t="s">
        <v>32</v>
      </c>
      <c r="E129" t="s">
        <v>19</v>
      </c>
      <c r="F129" t="s">
        <v>31</v>
      </c>
      <c r="G129" s="1">
        <v>30</v>
      </c>
      <c r="H129">
        <v>6.3499999999999997E-3</v>
      </c>
    </row>
    <row r="130" spans="2:8" x14ac:dyDescent="0.2">
      <c r="B130" t="s">
        <v>37</v>
      </c>
      <c r="C130" t="s">
        <v>8</v>
      </c>
      <c r="D130" t="s">
        <v>32</v>
      </c>
      <c r="E130" t="s">
        <v>21</v>
      </c>
      <c r="F130" t="s">
        <v>31</v>
      </c>
      <c r="G130" s="1">
        <v>30</v>
      </c>
      <c r="H130">
        <v>8.5999999999999998E-4</v>
      </c>
    </row>
    <row r="131" spans="2:8" x14ac:dyDescent="0.2">
      <c r="B131" t="s">
        <v>37</v>
      </c>
      <c r="C131" t="s">
        <v>8</v>
      </c>
      <c r="D131" t="s">
        <v>32</v>
      </c>
      <c r="E131" t="s">
        <v>23</v>
      </c>
      <c r="F131" t="s">
        <v>31</v>
      </c>
      <c r="G131" s="1">
        <v>30</v>
      </c>
      <c r="H131">
        <v>7.2099999999999994E-3</v>
      </c>
    </row>
    <row r="132" spans="2:8" x14ac:dyDescent="0.2">
      <c r="B132" t="s">
        <v>37</v>
      </c>
      <c r="C132" t="s">
        <v>8</v>
      </c>
      <c r="D132" t="s">
        <v>33</v>
      </c>
      <c r="E132" t="s">
        <v>19</v>
      </c>
      <c r="F132" t="s">
        <v>31</v>
      </c>
      <c r="G132" s="1">
        <v>30</v>
      </c>
      <c r="H132">
        <v>7.9299999999999995E-3</v>
      </c>
    </row>
    <row r="133" spans="2:8" x14ac:dyDescent="0.2">
      <c r="B133" t="s">
        <v>37</v>
      </c>
      <c r="C133" t="s">
        <v>8</v>
      </c>
      <c r="D133" t="s">
        <v>33</v>
      </c>
      <c r="E133" t="s">
        <v>21</v>
      </c>
      <c r="F133" t="s">
        <v>31</v>
      </c>
      <c r="G133" s="1">
        <v>30</v>
      </c>
      <c r="H133">
        <v>5.9000000000000003E-4</v>
      </c>
    </row>
    <row r="134" spans="2:8" x14ac:dyDescent="0.2">
      <c r="B134" t="s">
        <v>37</v>
      </c>
      <c r="C134" t="s">
        <v>8</v>
      </c>
      <c r="D134" t="s">
        <v>33</v>
      </c>
      <c r="E134" t="s">
        <v>23</v>
      </c>
      <c r="F134" t="s">
        <v>31</v>
      </c>
      <c r="G134" s="1">
        <v>30</v>
      </c>
      <c r="H134">
        <v>8.5199999999999998E-3</v>
      </c>
    </row>
    <row r="135" spans="2:8" x14ac:dyDescent="0.2">
      <c r="B135" t="s">
        <v>37</v>
      </c>
      <c r="C135" t="s">
        <v>8</v>
      </c>
      <c r="D135" t="s">
        <v>34</v>
      </c>
      <c r="E135" t="s">
        <v>19</v>
      </c>
      <c r="F135" t="s">
        <v>31</v>
      </c>
      <c r="G135" s="1">
        <v>30</v>
      </c>
      <c r="H135">
        <v>3.8000000000000002E-4</v>
      </c>
    </row>
    <row r="136" spans="2:8" x14ac:dyDescent="0.2">
      <c r="B136" t="s">
        <v>37</v>
      </c>
      <c r="C136" t="s">
        <v>8</v>
      </c>
      <c r="D136" t="s">
        <v>34</v>
      </c>
      <c r="E136" t="s">
        <v>21</v>
      </c>
      <c r="F136" t="s">
        <v>31</v>
      </c>
      <c r="G136" s="1">
        <v>30</v>
      </c>
      <c r="H136">
        <v>8.8999999999999995E-4</v>
      </c>
    </row>
    <row r="137" spans="2:8" x14ac:dyDescent="0.2">
      <c r="B137" t="s">
        <v>37</v>
      </c>
      <c r="C137" t="s">
        <v>8</v>
      </c>
      <c r="D137" t="s">
        <v>34</v>
      </c>
      <c r="E137" t="s">
        <v>23</v>
      </c>
      <c r="F137" t="s">
        <v>31</v>
      </c>
      <c r="G137" s="1">
        <v>30</v>
      </c>
      <c r="H137">
        <v>1.2699999999999999E-3</v>
      </c>
    </row>
    <row r="140" spans="2:8" x14ac:dyDescent="0.2">
      <c r="B140" s="2" t="s">
        <v>44</v>
      </c>
      <c r="F140" s="2" t="s">
        <v>13</v>
      </c>
    </row>
    <row r="141" spans="2:8" x14ac:dyDescent="0.2">
      <c r="B141" s="2" t="s">
        <v>38</v>
      </c>
      <c r="C141" s="2" t="s">
        <v>40</v>
      </c>
      <c r="D141" s="2" t="s">
        <v>15</v>
      </c>
      <c r="E141" s="2" t="s">
        <v>11</v>
      </c>
      <c r="F141" t="s">
        <v>20</v>
      </c>
      <c r="G141" t="s">
        <v>18</v>
      </c>
      <c r="H141" t="s">
        <v>22</v>
      </c>
    </row>
    <row r="142" spans="2:8" x14ac:dyDescent="0.2">
      <c r="B142" t="s">
        <v>36</v>
      </c>
      <c r="C142" t="s">
        <v>36</v>
      </c>
      <c r="D142" t="s">
        <v>31</v>
      </c>
      <c r="E142" t="s">
        <v>4</v>
      </c>
      <c r="F142" s="1">
        <v>48.404000000000003</v>
      </c>
      <c r="G142" s="1">
        <v>6.8959999999999999</v>
      </c>
      <c r="H142" s="1">
        <v>55.300000000000004</v>
      </c>
    </row>
    <row r="143" spans="2:8" x14ac:dyDescent="0.2">
      <c r="E143" t="s">
        <v>5</v>
      </c>
      <c r="F143" s="1">
        <v>1.986</v>
      </c>
      <c r="G143" s="1">
        <v>4.4648000000000003</v>
      </c>
      <c r="H143" s="1">
        <v>6.4508000000000001</v>
      </c>
    </row>
    <row r="144" spans="2:8" x14ac:dyDescent="0.2">
      <c r="E144" t="s">
        <v>7</v>
      </c>
      <c r="F144" s="1">
        <v>0.40451999999999999</v>
      </c>
      <c r="G144" s="1">
        <v>0.2641</v>
      </c>
      <c r="H144" s="1">
        <v>0.66861999999999999</v>
      </c>
    </row>
    <row r="145" spans="2:8" x14ac:dyDescent="0.2">
      <c r="E145" t="s">
        <v>6</v>
      </c>
      <c r="F145" s="1">
        <v>3.4169</v>
      </c>
      <c r="G145" s="1">
        <v>5.5361000000000002</v>
      </c>
      <c r="H145" s="1">
        <v>8.9529999999999994</v>
      </c>
    </row>
    <row r="146" spans="2:8" x14ac:dyDescent="0.2">
      <c r="D146" t="s">
        <v>24</v>
      </c>
      <c r="E146" t="s">
        <v>1</v>
      </c>
      <c r="F146" s="1">
        <v>49830</v>
      </c>
      <c r="G146" s="1">
        <v>9491</v>
      </c>
      <c r="H146" s="1">
        <v>59321</v>
      </c>
    </row>
    <row r="147" spans="2:8" x14ac:dyDescent="0.2">
      <c r="D147" t="s">
        <v>26</v>
      </c>
      <c r="E147" t="s">
        <v>2</v>
      </c>
      <c r="F147" s="1">
        <v>12.8262</v>
      </c>
      <c r="G147" s="1">
        <v>2.8342999999999998</v>
      </c>
      <c r="H147" s="1">
        <v>15.660499999999999</v>
      </c>
    </row>
    <row r="148" spans="2:8" x14ac:dyDescent="0.2">
      <c r="E148" t="s">
        <v>3</v>
      </c>
      <c r="F148" s="1">
        <v>12.9338</v>
      </c>
      <c r="G148" s="1">
        <v>2.8523000000000001</v>
      </c>
      <c r="H148" s="1">
        <v>15.786099999999999</v>
      </c>
    </row>
    <row r="149" spans="2:8" x14ac:dyDescent="0.2">
      <c r="C149" t="s">
        <v>0</v>
      </c>
      <c r="D149" t="s">
        <v>31</v>
      </c>
      <c r="E149" t="s">
        <v>4</v>
      </c>
      <c r="F149" s="1">
        <v>6.2E-2</v>
      </c>
      <c r="G149" s="1">
        <v>1.2E-2</v>
      </c>
      <c r="H149" s="1">
        <v>7.3999999999999996E-2</v>
      </c>
    </row>
    <row r="150" spans="2:8" x14ac:dyDescent="0.2">
      <c r="E150" t="s">
        <v>5</v>
      </c>
      <c r="F150" s="1">
        <v>1E-3</v>
      </c>
      <c r="G150" s="1">
        <v>7.4999999999999997E-3</v>
      </c>
      <c r="H150" s="1">
        <v>8.5000000000000006E-3</v>
      </c>
    </row>
    <row r="151" spans="2:8" x14ac:dyDescent="0.2">
      <c r="E151" t="s">
        <v>7</v>
      </c>
      <c r="F151" s="1">
        <v>1.0399999999999999E-3</v>
      </c>
      <c r="G151" s="1">
        <v>4.4999999999999999E-4</v>
      </c>
      <c r="H151" s="1">
        <v>1.49E-3</v>
      </c>
    </row>
    <row r="152" spans="2:8" x14ac:dyDescent="0.2">
      <c r="E152" t="s">
        <v>6</v>
      </c>
      <c r="F152" s="1">
        <v>6.9999999999999999E-4</v>
      </c>
      <c r="G152" s="1">
        <v>9.3799999999999994E-3</v>
      </c>
      <c r="H152" s="1">
        <v>1.0079999999999999E-2</v>
      </c>
    </row>
    <row r="153" spans="2:8" x14ac:dyDescent="0.2">
      <c r="D153" t="s">
        <v>24</v>
      </c>
      <c r="E153" t="s">
        <v>1</v>
      </c>
      <c r="F153" s="1">
        <v>84</v>
      </c>
      <c r="G153" s="1">
        <v>17</v>
      </c>
      <c r="H153" s="1">
        <v>101</v>
      </c>
    </row>
    <row r="154" spans="2:8" x14ac:dyDescent="0.2">
      <c r="D154" t="s">
        <v>26</v>
      </c>
      <c r="E154" t="s">
        <v>2</v>
      </c>
      <c r="F154" s="1">
        <v>2.2100000000000002E-2</v>
      </c>
      <c r="G154" s="1">
        <v>4.7999999999999996E-3</v>
      </c>
      <c r="H154" s="1">
        <v>2.69E-2</v>
      </c>
    </row>
    <row r="155" spans="2:8" x14ac:dyDescent="0.2">
      <c r="E155" t="s">
        <v>3</v>
      </c>
      <c r="F155" s="1">
        <v>2.24E-2</v>
      </c>
      <c r="G155" s="1">
        <v>5.0000000000000001E-3</v>
      </c>
      <c r="H155" s="1">
        <v>2.7400000000000001E-2</v>
      </c>
    </row>
    <row r="156" spans="2:8" x14ac:dyDescent="0.2">
      <c r="B156" t="s">
        <v>37</v>
      </c>
      <c r="C156" t="s">
        <v>37</v>
      </c>
      <c r="D156" t="s">
        <v>31</v>
      </c>
      <c r="E156" t="s">
        <v>4</v>
      </c>
      <c r="F156" s="1">
        <v>1.8494999999999999</v>
      </c>
      <c r="G156" s="1">
        <v>4.8899999999999999E-2</v>
      </c>
      <c r="H156" s="1">
        <v>1.8983999999999999</v>
      </c>
    </row>
    <row r="157" spans="2:8" x14ac:dyDescent="0.2">
      <c r="E157" t="s">
        <v>5</v>
      </c>
      <c r="F157" s="1">
        <v>6.7409999999999998E-2</v>
      </c>
      <c r="G157" s="1">
        <v>4.0800000000000003E-2</v>
      </c>
      <c r="H157" s="1">
        <v>0.10821</v>
      </c>
    </row>
    <row r="158" spans="2:8" x14ac:dyDescent="0.2">
      <c r="E158" t="s">
        <v>7</v>
      </c>
      <c r="F158" s="1">
        <v>0.19542999999999999</v>
      </c>
      <c r="G158" s="1">
        <v>2.512E-2</v>
      </c>
      <c r="H158" s="1">
        <v>0.22055</v>
      </c>
    </row>
    <row r="159" spans="2:8" x14ac:dyDescent="0.2">
      <c r="E159" t="s">
        <v>6</v>
      </c>
      <c r="F159" s="1">
        <v>1.52624</v>
      </c>
      <c r="G159" s="1">
        <v>0.10972</v>
      </c>
      <c r="H159" s="1">
        <v>1.6359600000000001</v>
      </c>
    </row>
    <row r="160" spans="2:8" x14ac:dyDescent="0.2">
      <c r="D160" t="s">
        <v>24</v>
      </c>
      <c r="E160" t="s">
        <v>1</v>
      </c>
      <c r="F160" s="1">
        <v>350</v>
      </c>
      <c r="G160" s="1">
        <v>31</v>
      </c>
      <c r="H160" s="1">
        <v>381</v>
      </c>
    </row>
    <row r="161" spans="2:8" x14ac:dyDescent="0.2">
      <c r="D161" t="s">
        <v>26</v>
      </c>
      <c r="E161" t="s">
        <v>2</v>
      </c>
      <c r="F161" s="1">
        <v>9.7600000000000006E-2</v>
      </c>
      <c r="G161" s="1">
        <v>8.3000000000000001E-3</v>
      </c>
      <c r="H161" s="1">
        <v>0.10590000000000001</v>
      </c>
    </row>
    <row r="162" spans="2:8" x14ac:dyDescent="0.2">
      <c r="E162" t="s">
        <v>3</v>
      </c>
      <c r="F162" s="1">
        <v>9.7900000000000001E-2</v>
      </c>
      <c r="G162" s="1">
        <v>8.3000000000000001E-3</v>
      </c>
      <c r="H162" s="1">
        <v>0.1062</v>
      </c>
    </row>
    <row r="163" spans="2:8" x14ac:dyDescent="0.2">
      <c r="C163" t="s">
        <v>0</v>
      </c>
      <c r="D163" t="s">
        <v>31</v>
      </c>
      <c r="E163" t="s">
        <v>4</v>
      </c>
      <c r="F163" s="1">
        <v>5.3800000000000001E-2</v>
      </c>
      <c r="G163" s="1">
        <v>0.01</v>
      </c>
      <c r="H163" s="1">
        <v>6.3799999999999996E-2</v>
      </c>
    </row>
    <row r="164" spans="2:8" x14ac:dyDescent="0.2">
      <c r="E164" t="s">
        <v>5</v>
      </c>
      <c r="F164" s="1">
        <v>8.5999999999999998E-4</v>
      </c>
      <c r="G164" s="1">
        <v>6.3499999999999997E-3</v>
      </c>
      <c r="H164" s="1">
        <v>7.2099999999999994E-3</v>
      </c>
    </row>
    <row r="165" spans="2:8" x14ac:dyDescent="0.2">
      <c r="E165" t="s">
        <v>7</v>
      </c>
      <c r="F165" s="1">
        <v>8.8999999999999995E-4</v>
      </c>
      <c r="G165" s="1">
        <v>3.8000000000000002E-4</v>
      </c>
      <c r="H165" s="1">
        <v>1.2699999999999999E-3</v>
      </c>
    </row>
    <row r="166" spans="2:8" x14ac:dyDescent="0.2">
      <c r="E166" t="s">
        <v>6</v>
      </c>
      <c r="F166" s="1">
        <v>5.9000000000000003E-4</v>
      </c>
      <c r="G166" s="1">
        <v>7.9299999999999995E-3</v>
      </c>
      <c r="H166" s="1">
        <v>8.5199999999999998E-3</v>
      </c>
    </row>
    <row r="167" spans="2:8" x14ac:dyDescent="0.2">
      <c r="D167" t="s">
        <v>24</v>
      </c>
      <c r="E167" t="s">
        <v>1</v>
      </c>
      <c r="F167" s="1">
        <v>71</v>
      </c>
      <c r="G167" s="1">
        <v>14</v>
      </c>
      <c r="H167" s="1">
        <v>85</v>
      </c>
    </row>
    <row r="168" spans="2:8" x14ac:dyDescent="0.2">
      <c r="D168" t="s">
        <v>26</v>
      </c>
      <c r="E168" t="s">
        <v>2</v>
      </c>
      <c r="F168" s="1">
        <v>1.8599999999999998E-2</v>
      </c>
      <c r="G168" s="1">
        <v>4.1000000000000003E-3</v>
      </c>
      <c r="H168" s="1">
        <v>2.2699999999999998E-2</v>
      </c>
    </row>
    <row r="169" spans="2:8" x14ac:dyDescent="0.2">
      <c r="E169" t="s">
        <v>3</v>
      </c>
      <c r="F169" s="1">
        <v>1.9E-2</v>
      </c>
      <c r="G169" s="1">
        <v>4.1999999999999997E-3</v>
      </c>
      <c r="H169" s="1">
        <v>2.3199999999999998E-2</v>
      </c>
    </row>
    <row r="170" spans="2:8" x14ac:dyDescent="0.2">
      <c r="B170" t="s">
        <v>9</v>
      </c>
      <c r="C170" t="s">
        <v>42</v>
      </c>
      <c r="D170" t="s">
        <v>31</v>
      </c>
      <c r="E170" t="s">
        <v>4</v>
      </c>
      <c r="F170" s="1">
        <v>1.1599999999999999</v>
      </c>
      <c r="G170" s="1">
        <v>1.98</v>
      </c>
      <c r="H170" s="1">
        <v>3.1399999999999997</v>
      </c>
    </row>
    <row r="171" spans="2:8" x14ac:dyDescent="0.2">
      <c r="E171" t="s">
        <v>5</v>
      </c>
      <c r="F171" s="1">
        <v>5.2999999999999999E-2</v>
      </c>
      <c r="G171" s="1">
        <v>5.0999999999999997E-2</v>
      </c>
      <c r="H171" s="1">
        <v>0.104</v>
      </c>
    </row>
    <row r="172" spans="2:8" x14ac:dyDescent="0.2">
      <c r="E172" t="s">
        <v>7</v>
      </c>
      <c r="F172" s="1">
        <v>1.2999999999999999E-2</v>
      </c>
      <c r="G172" s="1">
        <v>0.28000000000000003</v>
      </c>
      <c r="H172" s="1">
        <v>0.29300000000000004</v>
      </c>
    </row>
    <row r="173" spans="2:8" x14ac:dyDescent="0.2">
      <c r="E173" t="s">
        <v>6</v>
      </c>
      <c r="F173" s="1">
        <v>2.5000000000000001E-3</v>
      </c>
      <c r="G173" s="1">
        <v>1.72</v>
      </c>
      <c r="H173" s="1">
        <v>1.7224999999999999</v>
      </c>
    </row>
    <row r="174" spans="2:8" x14ac:dyDescent="0.2">
      <c r="D174" t="s">
        <v>24</v>
      </c>
      <c r="E174" t="s">
        <v>1</v>
      </c>
      <c r="F174" s="1">
        <v>3329</v>
      </c>
      <c r="G174" s="1">
        <v>8124</v>
      </c>
      <c r="H174" s="1">
        <v>11453</v>
      </c>
    </row>
    <row r="175" spans="2:8" x14ac:dyDescent="0.2">
      <c r="D175" t="s">
        <v>26</v>
      </c>
      <c r="E175" t="s">
        <v>2</v>
      </c>
      <c r="F175" s="1">
        <v>0.08</v>
      </c>
      <c r="G175" s="1">
        <v>0.69799999999999995</v>
      </c>
      <c r="H175" s="1">
        <v>0.77799999999999991</v>
      </c>
    </row>
    <row r="176" spans="2:8" x14ac:dyDescent="0.2">
      <c r="E176" t="s">
        <v>3</v>
      </c>
      <c r="F176" s="1">
        <v>8.1000000000000003E-2</v>
      </c>
      <c r="G176" s="1">
        <v>0.75700000000000001</v>
      </c>
      <c r="H176" s="1">
        <v>0.83799999999999997</v>
      </c>
    </row>
    <row r="177" spans="2:8" x14ac:dyDescent="0.2">
      <c r="B177" t="s">
        <v>0</v>
      </c>
      <c r="C177" t="s">
        <v>42</v>
      </c>
      <c r="D177" t="s">
        <v>31</v>
      </c>
      <c r="E177" t="s">
        <v>4</v>
      </c>
      <c r="F177" s="1">
        <v>11.23</v>
      </c>
      <c r="G177" s="1">
        <v>0.71</v>
      </c>
      <c r="H177" s="1">
        <v>11.940000000000001</v>
      </c>
    </row>
    <row r="178" spans="2:8" x14ac:dyDescent="0.2">
      <c r="E178" t="s">
        <v>5</v>
      </c>
      <c r="F178" s="1">
        <v>0.4</v>
      </c>
      <c r="G178" s="1">
        <v>0.45</v>
      </c>
      <c r="H178" s="1">
        <v>0.85000000000000009</v>
      </c>
    </row>
    <row r="179" spans="2:8" x14ac:dyDescent="0.2">
      <c r="E179" t="s">
        <v>7</v>
      </c>
      <c r="F179" s="1">
        <v>0.23799999999999999</v>
      </c>
      <c r="G179" s="1">
        <v>2.8000000000000001E-2</v>
      </c>
      <c r="H179" s="1">
        <v>0.26600000000000001</v>
      </c>
    </row>
    <row r="180" spans="2:8" x14ac:dyDescent="0.2">
      <c r="E180" t="s">
        <v>6</v>
      </c>
      <c r="F180" s="1">
        <v>7.5999999999999998E-2</v>
      </c>
      <c r="G180" s="1">
        <v>0.56499999999999995</v>
      </c>
      <c r="H180" s="1">
        <v>0.6409999999999999</v>
      </c>
    </row>
    <row r="181" spans="2:8" x14ac:dyDescent="0.2">
      <c r="D181" t="s">
        <v>24</v>
      </c>
      <c r="E181" t="s">
        <v>1</v>
      </c>
      <c r="F181" s="1">
        <v>18262</v>
      </c>
      <c r="G181" s="1">
        <v>3636</v>
      </c>
      <c r="H181" s="1">
        <v>21898</v>
      </c>
    </row>
    <row r="182" spans="2:8" x14ac:dyDescent="0.2">
      <c r="D182" t="s">
        <v>26</v>
      </c>
      <c r="E182" t="s">
        <v>2</v>
      </c>
      <c r="F182" s="1">
        <v>1.33</v>
      </c>
      <c r="G182" s="1">
        <v>0.28999999999999998</v>
      </c>
      <c r="H182" s="1">
        <v>1.62</v>
      </c>
    </row>
    <row r="183" spans="2:8" x14ac:dyDescent="0.2">
      <c r="E183" t="s">
        <v>3</v>
      </c>
      <c r="F183" s="1">
        <v>1.35</v>
      </c>
      <c r="G183" s="1">
        <v>0.3</v>
      </c>
      <c r="H183" s="1">
        <v>1.65</v>
      </c>
    </row>
  </sheetData>
  <autoFilter ref="B11:H11"/>
  <phoneticPr fontId="4" type="noConversion"/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Q1+2+3+4PersonalFP</vt:lpstr>
      <vt:lpstr>Q1TransportationFP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 文华</dc:creator>
  <cp:lastModifiedBy>李 文华</cp:lastModifiedBy>
  <dcterms:created xsi:type="dcterms:W3CDTF">2018-09-04T22:10:52Z</dcterms:created>
  <dcterms:modified xsi:type="dcterms:W3CDTF">2018-09-04T22:10:52Z</dcterms:modified>
</cp:coreProperties>
</file>